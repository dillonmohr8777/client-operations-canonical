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459e1349149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Keyword Evidence" sheetId="1" r:id="R00b98061fc8e4a58"/>
    <x:sheet xmlns:r="http://schemas.openxmlformats.org/officeDocument/2006/relationships" name="Summary" sheetId="2" r:id="R0e10f9c1fb874407"/>
    <x:sheet xmlns:r="http://schemas.openxmlformats.org/officeDocument/2006/relationships" name="Keyword Master" sheetId="3" r:id="Rd2be2fd782cb4517"/>
    <x:sheet xmlns:r="http://schemas.openxmlformats.org/officeDocument/2006/relationships" name="Asset Register" sheetId="4" r:id="R35bc7ea7bee24372"/>
    <x:sheet xmlns:r="http://schemas.openxmlformats.org/officeDocument/2006/relationships" name="90-Day Calendar" sheetId="5" r:id="R51778a5134714239"/>
    <x:sheet xmlns:r="http://schemas.openxmlformats.org/officeDocument/2006/relationships" name="12-Month Roadmap" sheetId="6" r:id="Re7175e67378f4f3b"/>
    <x:sheet xmlns:r="http://schemas.openxmlformats.org/officeDocument/2006/relationships" name="Claims &amp; Permissions" sheetId="7" r:id="Recf91c4415974bff"/>
    <x:sheet xmlns:r="http://schemas.openxmlformats.org/officeDocument/2006/relationships" name="Sources &amp; Rules" sheetId="8" r:id="R4ec7be722d9946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$0.00"/>
  </x:numFmts>
  <x:fonts count="12">
    <x:font>
      <x:sz val="11"/>
      <x:name val="Carlito"/>
    </x:font>
    <x:font>
      <x:b/>
      <x:sz val="18"/>
      <x:color rgb="FFFFFFFF"/>
      <x:name val="Arial"/>
    </x:font>
    <x:font>
      <x:i/>
      <x:sz val="10"/>
      <x:color rgb="FF69645E"/>
      <x:name val="Arial"/>
    </x:font>
    <x:font>
      <x:b/>
      <x:sz val="11"/>
      <x:color rgb="FF111111"/>
      <x:name val="Arial"/>
    </x:font>
    <x:font>
      <x:b/>
      <x:sz val="10"/>
      <x:color rgb="FFFFFFFF"/>
      <x:name val="Arial"/>
    </x:font>
    <x:font>
      <x:b/>
      <x:sz val="20"/>
      <x:color rgb="FFB94800"/>
      <x:name val="Arial"/>
    </x:font>
    <x:font>
      <x:sz val="8"/>
      <x:color rgb="FF69645E"/>
      <x:name val="Arial"/>
    </x:font>
    <x:font>
      <x:b/>
      <x:sz val="11"/>
      <x:color rgb="FFFFFFFF"/>
      <x:name val="Arial"/>
    </x:font>
    <x:font>
      <x:sz val="9"/>
      <x:color rgb="FF111111"/>
      <x:name val="Arial"/>
    </x:font>
    <x:font>
      <x:b/>
      <x:sz val="9"/>
      <x:color rgb="FFB94800"/>
      <x:name val="Arial"/>
    </x:font>
    <x:font>
      <x:b/>
      <x:sz val="10"/>
      <x:color rgb="FF111111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6F2EA"/>
      </x:patternFill>
    </x:fill>
    <x:fill>
      <x:patternFill patternType="solid">
        <x:fgColor rgb="FFF47721"/>
      </x:patternFill>
    </x:fill>
    <x:fill>
      <x:patternFill patternType="solid">
        <x:fgColor rgb="FF2F3032"/>
      </x:patternFill>
    </x:fill>
  </x:fills>
  <x:borders count="24">
    <x:border/>
    <x:border/>
    <x:border>
      <x:bottom style="thin">
        <x:color rgb="FFD8D0C4"/>
      </x:bottom>
    </x:border>
    <x:border>
      <x:bottom style="thin">
        <x:color rgb="FFD8D0C4"/>
      </x:bottom>
    </x:border>
    <x:border>
      <x:left style="thin">
        <x:color rgb="FFD8D0C4"/>
      </x:left>
      <x:top style="thin">
        <x:color rgb="FFD8D0C4"/>
      </x:top>
    </x:border>
    <x:border>
      <x:right style="thin">
        <x:color rgb="FFD8D0C4"/>
      </x:right>
      <x:top style="thin">
        <x:color rgb="FFD8D0C4"/>
      </x:top>
    </x:border>
    <x:border>
      <x:left style="thin">
        <x:color rgb="FFD8D0C4"/>
      </x:left>
    </x:border>
    <x:border>
      <x:right style="thin">
        <x:color rgb="FFD8D0C4"/>
      </x:right>
    </x:border>
    <x:border>
      <x:left style="thin">
        <x:color rgb="FFD8D0C4"/>
      </x:left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left style="thin">
        <x:color rgb="FFD8D0C4"/>
      </x:left>
      <x:top style="thin">
        <x:color rgb="FFD8D0C4"/>
      </x:top>
    </x:border>
    <x:border>
      <x:right style="thin">
        <x:color rgb="FFD8D0C4"/>
      </x:right>
      <x:top style="thin">
        <x:color rgb="FFD8D0C4"/>
      </x:top>
    </x:border>
    <x:border>
      <x:left style="thin">
        <x:color rgb="FFD8D0C4"/>
      </x:left>
    </x:border>
    <x:border>
      <x:right style="thin">
        <x:color rgb="FFD8D0C4"/>
      </x:right>
    </x:border>
    <x:border>
      <x:left style="thin">
        <x:color rgb="FFD8D0C4"/>
      </x:left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top style="thin">
        <x:color rgb="FFD8D0C4"/>
      </x:top>
      <x:bottom style="thin">
        <x:color rgb="FFD8D0C4"/>
      </x:bottom>
    </x:border>
    <x:border>
      <x:top style="thin">
        <x:color rgb="FFD8D0C4"/>
      </x:top>
    </x:border>
    <x:border>
      <x:top style="thin">
        <x:color rgb="FFD8D0C4"/>
      </x:top>
      <x:bottom style="thin">
        <x:color rgb="FFD8D0C4"/>
      </x:bottom>
    </x:border>
    <x:border>
      <x:top style="thin">
        <x:color rgb="FFD8D0C4"/>
      </x:top>
    </x:border>
    <x:border>
      <x:left style="thin">
        <x:color rgb="FFD8D0C4"/>
      </x:left>
      <x:right style="thin">
        <x:color rgb="FFD8D0C4"/>
      </x:right>
      <x:top style="thin">
        <x:color rgb="FFD8D0C4"/>
      </x:top>
      <x:bottom style="thin">
        <x:color rgb="FFD8D0C4"/>
      </x:bottom>
    </x:border>
    <x:border>
      <x:left style="thin">
        <x:color rgb="FFD8D0C4"/>
      </x:left>
      <x:right style="thin">
        <x:color rgb="FFD8D0C4"/>
      </x:right>
      <x:top style="thin">
        <x:color rgb="FFD8D0C4"/>
      </x:top>
      <x:bottom style="thin">
        <x:color rgb="FFD8D0C4"/>
      </x:bottom>
    </x:border>
    <x:border>
      <x:bottom style="medium">
        <x:color rgb="FFB94800"/>
      </x:bottom>
    </x:border>
    <x:border>
      <x:bottom style="medium">
        <x:color rgb="FFB94800"/>
      </x:bottom>
    </x:border>
  </x:borders>
  <x:cellStyleXfs count="1">
    <x:xf numFmtId="0" fontId="0" fillId="0" borderId="0"/>
  </x:cellStyleXfs>
  <x:cellXfs count="1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5" fillId="3" borderId="6" xfId="0" applyNumberFormat="1" applyFont="1" applyFill="1" applyBorder="1" applyAlignment="1">
      <x:alignment horizontal="center"/>
    </x:xf>
    <x:xf numFmtId="0" fontId="5" fillId="3" borderId="7" xfId="0" applyNumberFormat="1" applyFont="1" applyFill="1" applyBorder="1" applyAlignment="1">
      <x:alignment horizontal="center"/>
    </x:xf>
    <x:xf numFmtId="0" fontId="6" fillId="3" borderId="8" xfId="0" applyNumberFormat="1" applyFont="1" applyFill="1" applyBorder="1" applyAlignment="1">
      <x:alignment horizontal="center" wrapText="1"/>
    </x:xf>
    <x:xf numFmtId="0" fontId="6" fillId="3" borderId="9" xfId="0" applyNumberFormat="1" applyFont="1" applyFill="1" applyBorder="1" applyAlignment="1">
      <x:alignment horizontal="center" wrapText="1"/>
    </x:xf>
    <x:xf numFmtId="0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5" fillId="3" borderId="12" xfId="0" applyNumberFormat="1" applyFont="1" applyFill="1" applyBorder="1" applyAlignment="1">
      <x:alignment horizontal="center"/>
    </x:xf>
    <x:xf numFmtId="0" fontId="5" fillId="3" borderId="13" xfId="0" applyNumberFormat="1" applyFont="1" applyFill="1" applyBorder="1" applyAlignment="1">
      <x:alignment horizontal="center"/>
    </x:xf>
    <x:xf numFmtId="0" fontId="6" fillId="3" borderId="14" xfId="0" applyNumberFormat="1" applyFont="1" applyFill="1" applyBorder="1" applyAlignment="1">
      <x:alignment horizontal="center" wrapText="1"/>
    </x:xf>
    <x:xf numFmtId="0" fontId="6" fillId="3" borderId="15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2" xfId="0" applyNumberFormat="1" applyFont="1" applyFill="1" applyBorder="1"/>
    <x:xf numFmtId="0" fontId="8" fillId="0" borderId="16" xfId="0" applyNumberFormat="1" applyFont="1" applyFill="1" applyBorder="1"/>
    <x:xf numFmtId="0" fontId="8" fillId="0" borderId="17" xfId="0" applyNumberFormat="1" applyFont="1" applyFill="1" applyBorder="1"/>
    <x:xf numFmtId="0" fontId="8" fillId="0" borderId="3" xfId="0" applyNumberFormat="1" applyFont="1" applyFill="1" applyBorder="1"/>
    <x:xf numFmtId="0" fontId="8" fillId="0" borderId="18" xfId="0" applyNumberFormat="1" applyFont="1" applyFill="1" applyBorder="1"/>
    <x:xf numFmtId="0" fontId="8" fillId="0" borderId="19" xfId="0" applyNumberFormat="1" applyFont="1" applyFill="1" applyBorder="1"/>
    <x:xf numFmtId="0" fontId="8" fillId="0" borderId="2" xfId="0" applyNumberFormat="1" applyFont="1" applyFill="1" applyBorder="1" applyAlignment="1">
      <x:alignment wrapText="1"/>
    </x:xf>
    <x:xf numFmtId="0" fontId="8" fillId="0" borderId="16" xfId="0" applyNumberFormat="1" applyFont="1" applyFill="1" applyBorder="1" applyAlignment="1">
      <x:alignment wrapText="1"/>
    </x:xf>
    <x:xf numFmtId="0" fontId="8" fillId="0" borderId="17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8" fillId="0" borderId="18" xfId="0" applyNumberFormat="1" applyFont="1" applyFill="1" applyBorder="1" applyAlignment="1">
      <x:alignment wrapText="1"/>
    </x:xf>
    <x:xf numFmtId="0" fontId="8" fillId="0" borderId="19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vertical="center" wrapText="1"/>
    </x:xf>
    <x:xf numFmtId="0" fontId="8" fillId="0" borderId="16" xfId="0" applyNumberFormat="1" applyFont="1" applyFill="1" applyBorder="1" applyAlignment="1">
      <x:alignment vertical="center" wrapText="1"/>
    </x:xf>
    <x:xf numFmtId="0" fontId="8" fillId="0" borderId="17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center" wrapText="1"/>
    </x:xf>
    <x:xf numFmtId="0" fontId="8" fillId="0" borderId="18" xfId="0" applyNumberFormat="1" applyFont="1" applyFill="1" applyBorder="1" applyAlignment="1">
      <x:alignment vertical="center" wrapText="1"/>
    </x:xf>
    <x:xf numFmtId="0" fontId="8" fillId="0" borderId="19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0" fontId="9" fillId="0" borderId="16" xfId="0" applyNumberFormat="1" applyFont="1" applyFill="1" applyBorder="1" applyAlignment="1">
      <x:alignment vertical="center" wrapText="1"/>
    </x:xf>
    <x:xf numFmtId="0" fontId="9" fillId="0" borderId="17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18" xfId="0" applyNumberFormat="1" applyFont="1" applyFill="1" applyBorder="1" applyAlignment="1">
      <x:alignment vertical="center" wrapText="1"/>
    </x:xf>
    <x:xf numFmtId="0" fontId="9" fillId="0" borderId="19" xfId="0" applyNumberFormat="1" applyFont="1" applyFill="1" applyBorder="1" applyAlignment="1">
      <x:alignment vertical="center" wrapText="1"/>
    </x:xf>
    <x:xf numFmtId="0" fontId="9" fillId="0" borderId="20" xfId="0" applyNumberFormat="1" applyFont="1" applyFill="1" applyBorder="1" applyAlignment="1">
      <x:alignment vertical="center" wrapText="1"/>
    </x:xf>
    <x:xf numFmtId="0" fontId="8" fillId="0" borderId="20" xfId="0" applyNumberFormat="1" applyFont="1" applyFill="1" applyBorder="1" applyAlignment="1">
      <x:alignment vertical="center" wrapText="1"/>
    </x:xf>
    <x:xf numFmtId="0" fontId="9" fillId="0" borderId="21" xfId="0" applyNumberFormat="1" applyFont="1" applyFill="1" applyBorder="1" applyAlignment="1">
      <x:alignment vertical="center" wrapText="1"/>
    </x:xf>
    <x:xf numFmtId="0" fontId="8" fillId="0" borderId="21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/>
    <x:xf numFmtId="0" fontId="10" fillId="4" borderId="1" xfId="0" applyNumberFormat="1" applyFont="1" applyFill="1" applyBorder="1"/>
    <x:xf numFmtId="0" fontId="10" fillId="4" borderId="22" xfId="0" applyNumberFormat="1" applyFont="1" applyFill="1" applyBorder="1"/>
    <x:xf numFmtId="0" fontId="10" fillId="4" borderId="23" xfId="0" applyNumberFormat="1" applyFont="1" applyFill="1" applyBorder="1"/>
    <x:xf numFmtId="0" fontId="10" fillId="4" borderId="22" xfId="0" applyNumberFormat="1" applyFont="1" applyFill="1" applyBorder="1" applyAlignment="1">
      <x:alignment wrapText="1"/>
    </x:xf>
    <x:xf numFmtId="0" fontId="10" fillId="4" borderId="23" xfId="0" applyNumberFormat="1" applyFont="1" applyFill="1" applyBorder="1" applyAlignment="1">
      <x:alignment wrapText="1"/>
    </x:xf>
    <x:xf numFmtId="0" fontId="10" fillId="4" borderId="22" xfId="0" applyNumberFormat="1" applyFont="1" applyFill="1" applyBorder="1" applyAlignment="1">
      <x:alignment horizontal="center" wrapText="1"/>
    </x:xf>
    <x:xf numFmtId="0" fontId="10" fillId="4" borderId="23" xfId="0" applyNumberFormat="1" applyFont="1" applyFill="1" applyBorder="1" applyAlignment="1">
      <x:alignment horizontal="center" wrapText="1"/>
    </x:xf>
    <x:xf numFmtId="0" fontId="10" fillId="4" borderId="22" xfId="0" applyNumberFormat="1" applyFont="1" applyFill="1" applyBorder="1" applyAlignment="1">
      <x:alignment horizontal="center" vertical="center" wrapText="1"/>
    </x:xf>
    <x:xf numFmtId="0" fontId="10" fillId="4" borderId="23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0" fontId="8" fillId="0" borderId="2" xfId="0" applyNumberFormat="1" applyFont="1" applyFill="1" applyBorder="1" applyAlignment="1">
      <x:alignment horizontal="center" vertical="center" wrapText="1"/>
    </x:xf>
    <x:xf numFmtId="0" fontId="8" fillId="0" borderId="16" xfId="0" applyNumberFormat="1" applyFont="1" applyFill="1" applyBorder="1" applyAlignment="1">
      <x:alignment horizontal="center" vertical="center" wrapText="1"/>
    </x:xf>
    <x:xf numFmtId="0" fontId="8" fillId="0" borderId="17" xfId="0" applyNumberFormat="1" applyFont="1" applyFill="1" applyBorder="1" applyAlignment="1">
      <x:alignment horizontal="center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18" xfId="0" applyNumberFormat="1" applyFont="1" applyFill="1" applyBorder="1" applyAlignment="1">
      <x:alignment horizontal="center" vertical="center" wrapText="1"/>
    </x:xf>
    <x:xf numFmtId="0" fontId="8" fillId="0" borderId="19" xfId="0" applyNumberFormat="1" applyFont="1" applyFill="1" applyBorder="1" applyAlignment="1">
      <x:alignment horizontal="center" vertical="center" wrapText="1"/>
    </x:xf>
    <x:xf numFmtId="0" fontId="8" fillId="0" borderId="2" xfId="0" applyNumberFormat="1" applyFont="1" applyFill="1" applyBorder="1" applyAlignment="1">
      <x:alignment horizontal="right" vertical="center" wrapText="1"/>
    </x:xf>
    <x:xf numFmtId="0" fontId="8" fillId="0" borderId="16" xfId="0" applyNumberFormat="1" applyFont="1" applyFill="1" applyBorder="1" applyAlignment="1">
      <x:alignment horizontal="right" vertical="center" wrapText="1"/>
    </x:xf>
    <x:xf numFmtId="0" fontId="8" fillId="0" borderId="17" xfId="0" applyNumberFormat="1" applyFont="1" applyFill="1" applyBorder="1" applyAlignment="1">
      <x:alignment horizontal="right" vertical="center" wrapText="1"/>
    </x:xf>
    <x:xf numFmtId="0" fontId="8" fillId="0" borderId="3" xfId="0" applyNumberFormat="1" applyFont="1" applyFill="1" applyBorder="1" applyAlignment="1">
      <x:alignment horizontal="right" vertical="center" wrapText="1"/>
    </x:xf>
    <x:xf numFmtId="0" fontId="8" fillId="0" borderId="18" xfId="0" applyNumberFormat="1" applyFont="1" applyFill="1" applyBorder="1" applyAlignment="1">
      <x:alignment horizontal="right" vertical="center" wrapText="1"/>
    </x:xf>
    <x:xf numFmtId="0" fontId="8" fillId="0" borderId="19" xfId="0" applyNumberFormat="1" applyFont="1" applyFill="1" applyBorder="1" applyAlignment="1">
      <x:alignment horizontal="right" vertical="center" wrapText="1"/>
    </x:xf>
    <x:xf numFmtId="200" fontId="8" fillId="0" borderId="2" xfId="0" applyNumberFormat="1" applyFont="1" applyFill="1" applyBorder="1" applyAlignment="1">
      <x:alignment horizontal="right" vertical="center" wrapText="1"/>
    </x:xf>
    <x:xf numFmtId="200" fontId="8" fillId="0" borderId="16" xfId="0" applyNumberFormat="1" applyFont="1" applyFill="1" applyBorder="1" applyAlignment="1">
      <x:alignment horizontal="right" vertical="center" wrapText="1"/>
    </x:xf>
    <x:xf numFmtId="200" fontId="8" fillId="0" borderId="17" xfId="0" applyNumberFormat="1" applyFont="1" applyFill="1" applyBorder="1" applyAlignment="1">
      <x:alignment horizontal="right" vertical="center" wrapText="1"/>
    </x:xf>
    <x:xf numFmtId="200" fontId="8" fillId="0" borderId="3" xfId="0" applyNumberFormat="1" applyFont="1" applyFill="1" applyBorder="1" applyAlignment="1">
      <x:alignment horizontal="right" vertical="center" wrapText="1"/>
    </x:xf>
    <x:xf numFmtId="200" fontId="8" fillId="0" borderId="18" xfId="0" applyNumberFormat="1" applyFont="1" applyFill="1" applyBorder="1" applyAlignment="1">
      <x:alignment horizontal="right" vertical="center" wrapText="1"/>
    </x:xf>
    <x:xf numFmtId="200" fontId="8" fillId="0" borderId="19" xfId="0" applyNumberFormat="1" applyFont="1" applyFill="1" applyBorder="1" applyAlignment="1">
      <x:alignment horizontal="right" vertical="center" wrapText="1"/>
    </x:xf>
    <x:xf numFmtId="201" fontId="8" fillId="0" borderId="2" xfId="0" applyNumberFormat="1" applyFont="1" applyFill="1" applyBorder="1" applyAlignment="1">
      <x:alignment horizontal="right" vertical="center" wrapText="1"/>
    </x:xf>
    <x:xf numFmtId="201" fontId="8" fillId="0" borderId="16" xfId="0" applyNumberFormat="1" applyFont="1" applyFill="1" applyBorder="1" applyAlignment="1">
      <x:alignment horizontal="right" vertical="center" wrapText="1"/>
    </x:xf>
    <x:xf numFmtId="201" fontId="8" fillId="0" borderId="17" xfId="0" applyNumberFormat="1" applyFont="1" applyFill="1" applyBorder="1" applyAlignment="1">
      <x:alignment horizontal="right" vertical="center" wrapText="1"/>
    </x:xf>
    <x:xf numFmtId="201" fontId="8" fillId="0" borderId="3" xfId="0" applyNumberFormat="1" applyFont="1" applyFill="1" applyBorder="1" applyAlignment="1">
      <x:alignment horizontal="right" vertical="center" wrapText="1"/>
    </x:xf>
    <x:xf numFmtId="201" fontId="8" fillId="0" borderId="18" xfId="0" applyNumberFormat="1" applyFont="1" applyFill="1" applyBorder="1" applyAlignment="1">
      <x:alignment horizontal="right" vertical="center" wrapText="1"/>
    </x:xf>
    <x:xf numFmtId="201" fontId="8" fillId="0" borderId="19" xfId="0" applyNumberFormat="1" applyFont="1" applyFill="1" applyBorder="1" applyAlignment="1">
      <x:alignment horizontal="right" vertical="center" wrapText="1"/>
    </x:xf>
    <x:xf numFmtId="202" fontId="8" fillId="0" borderId="2" xfId="0" applyNumberFormat="1" applyFont="1" applyFill="1" applyBorder="1" applyAlignment="1">
      <x:alignment horizontal="right" vertical="center" wrapText="1"/>
    </x:xf>
    <x:xf numFmtId="202" fontId="8" fillId="0" borderId="16" xfId="0" applyNumberFormat="1" applyFont="1" applyFill="1" applyBorder="1" applyAlignment="1">
      <x:alignment horizontal="right" vertical="center" wrapText="1"/>
    </x:xf>
    <x:xf numFmtId="202" fontId="8" fillId="0" borderId="17" xfId="0" applyNumberFormat="1" applyFont="1" applyFill="1" applyBorder="1" applyAlignment="1">
      <x:alignment horizontal="right" vertical="center" wrapText="1"/>
    </x:xf>
    <x:xf numFmtId="202" fontId="8" fillId="0" borderId="3" xfId="0" applyNumberFormat="1" applyFont="1" applyFill="1" applyBorder="1" applyAlignment="1">
      <x:alignment horizontal="right" vertical="center" wrapText="1"/>
    </x:xf>
    <x:xf numFmtId="202" fontId="8" fillId="0" borderId="18" xfId="0" applyNumberFormat="1" applyFont="1" applyFill="1" applyBorder="1" applyAlignment="1">
      <x:alignment horizontal="right" vertical="center" wrapText="1"/>
    </x:xf>
    <x:xf numFmtId="202" fontId="8" fillId="0" borderId="19" xfId="0" applyNumberFormat="1" applyFont="1" applyFill="1" applyBorder="1" applyAlignment="1">
      <x:alignment horizontal="right" vertical="center" wrapText="1"/>
    </x:xf>
    <x:xf numFmtId="201" fontId="8" fillId="0" borderId="2" xfId="0" applyNumberFormat="1" applyFont="1" applyFill="1" applyBorder="1" applyAlignment="1">
      <x:alignment vertical="center" wrapText="1"/>
    </x:xf>
    <x:xf numFmtId="201" fontId="8" fillId="0" borderId="16" xfId="0" applyNumberFormat="1" applyFont="1" applyFill="1" applyBorder="1" applyAlignment="1">
      <x:alignment vertical="center" wrapText="1"/>
    </x:xf>
    <x:xf numFmtId="201" fontId="8" fillId="0" borderId="17" xfId="0" applyNumberFormat="1" applyFont="1" applyFill="1" applyBorder="1" applyAlignment="1">
      <x:alignment vertical="center" wrapText="1"/>
    </x:xf>
    <x:xf numFmtId="201" fontId="8" fillId="0" borderId="3" xfId="0" applyNumberFormat="1" applyFont="1" applyFill="1" applyBorder="1" applyAlignment="1">
      <x:alignment vertical="center" wrapText="1"/>
    </x:xf>
    <x:xf numFmtId="201" fontId="8" fillId="0" borderId="18" xfId="0" applyNumberFormat="1" applyFont="1" applyFill="1" applyBorder="1" applyAlignment="1">
      <x:alignment vertical="center" wrapText="1"/>
    </x:xf>
    <x:xf numFmtId="201" fontId="8" fillId="0" borderId="19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24">
    <x:dxf>
      <x:font>
        <x:b/>
        <x:color rgb="FF2F6B45"/>
      </x:font>
      <x:fill>
        <x:patternFill patternType="solid">
          <x:bgColor rgb="FFE7F3EA"/>
        </x:patternFill>
      </x:fill>
    </x:dxf>
    <x:dxf>
      <x:font>
        <x:b/>
        <x:color rgb="FF8F2D2D"/>
      </x:font>
      <x:fill>
        <x:patternFill patternType="solid">
          <x:bgColor rgb="FFFCE8E8"/>
        </x:patternFill>
      </x:fill>
    </x:dxf>
    <x:dxf>
      <x:font>
        <x:color rgb="FF8A5A00"/>
      </x:font>
      <x:fill>
        <x:patternFill patternType="solid">
          <x:bgColor rgb="FFFFF3D6"/>
        </x:patternFill>
      </x:fill>
    </x:dxf>
    <x:dxf>
      <x:font>
        <x:color rgb="FF2F5D7C"/>
      </x:font>
      <x:fill>
        <x:patternFill patternType="solid">
          <x:bgColor rgb="FFE8F0F6"/>
        </x:patternFill>
      </x:fill>
    </x:dxf>
    <x:dxf>
      <x:font>
        <x:color rgb="FF69645E"/>
      </x:font>
      <x:fill>
        <x:patternFill patternType="solid">
          <x:bgColor rgb="FFEEEEEC"/>
        </x:patternFill>
      </x:fill>
    </x:dxf>
    <x:dxf>
      <x:font>
        <x:b/>
        <x:color rgb="FF8F2D2D"/>
      </x:font>
      <x:fill>
        <x:patternFill patternType="solid">
          <x:bgColor rgb="FFFCE8E8"/>
        </x:patternFill>
      </x:fill>
    </x:dxf>
    <x:dxf>
      <x:font>
        <x:b/>
        <x:color rgb="FF2F6B45"/>
      </x:font>
      <x:fill>
        <x:patternFill patternType="solid">
          <x:bgColor rgb="FFE7F3EA"/>
        </x:patternFill>
      </x:fill>
    </x:dxf>
    <x:dxf>
      <x:font>
        <x:b/>
        <x:color rgb="FF8F2D2D"/>
      </x:font>
      <x:fill>
        <x:patternFill patternType="solid">
          <x:bgColor rgb="FFFCE8E8"/>
        </x:patternFill>
      </x:fill>
    </x:dxf>
    <x:dxf>
      <x:font>
        <x:color rgb="FF8A5A00"/>
      </x:font>
      <x:fill>
        <x:patternFill patternType="solid">
          <x:bgColor rgb="FFFFF3D6"/>
        </x:patternFill>
      </x:fill>
    </x:dxf>
    <x:dxf>
      <x:font>
        <x:color rgb="FF2F5D7C"/>
      </x:font>
      <x:fill>
        <x:patternFill patternType="solid">
          <x:bgColor rgb="FFE8F0F6"/>
        </x:patternFill>
      </x:fill>
    </x:dxf>
    <x:dxf>
      <x:font>
        <x:color rgb="FF69645E"/>
      </x:font>
      <x:fill>
        <x:patternFill patternType="solid">
          <x:bgColor rgb="FFEEEEEC"/>
        </x:patternFill>
      </x:fill>
    </x:dxf>
    <x:dxf>
      <x:font>
        <x:b/>
        <x:color rgb="FF8F2D2D"/>
      </x:font>
      <x:fill>
        <x:patternFill patternType="solid">
          <x:bgColor rgb="FFFCE8E8"/>
        </x:patternFill>
      </x:fill>
    </x:dxf>
    <x:dxf>
      <x:font>
        <x:b/>
        <x:color rgb="FF2F6B45"/>
      </x:font>
      <x:fill>
        <x:patternFill patternType="solid">
          <x:bgColor rgb="FFE7F3EA"/>
        </x:patternFill>
      </x:fill>
    </x:dxf>
    <x:dxf>
      <x:font>
        <x:b/>
        <x:color rgb="FF8F2D2D"/>
      </x:font>
      <x:fill>
        <x:patternFill patternType="solid">
          <x:bgColor rgb="FFFCE8E8"/>
        </x:patternFill>
      </x:fill>
    </x:dxf>
    <x:dxf>
      <x:font>
        <x:color rgb="FF8A5A00"/>
      </x:font>
      <x:fill>
        <x:patternFill patternType="solid">
          <x:bgColor rgb="FFFFF3D6"/>
        </x:patternFill>
      </x:fill>
    </x:dxf>
    <x:dxf>
      <x:font>
        <x:color rgb="FF2F5D7C"/>
      </x:font>
      <x:fill>
        <x:patternFill patternType="solid">
          <x:bgColor rgb="FFE8F0F6"/>
        </x:patternFill>
      </x:fill>
    </x:dxf>
    <x:dxf>
      <x:font>
        <x:color rgb="FF69645E"/>
      </x:font>
      <x:fill>
        <x:patternFill patternType="solid">
          <x:bgColor rgb="FFEEEEEC"/>
        </x:patternFill>
      </x:fill>
    </x:dxf>
    <x:dxf>
      <x:font>
        <x:b/>
        <x:color rgb="FF8F2D2D"/>
      </x:font>
      <x:fill>
        <x:patternFill patternType="solid">
          <x:bgColor rgb="FFFCE8E8"/>
        </x:patternFill>
      </x:fill>
    </x:dxf>
    <x:dxf>
      <x:font>
        <x:b/>
        <x:color rgb="FF2F6B45"/>
      </x:font>
      <x:fill>
        <x:patternFill patternType="solid">
          <x:bgColor rgb="FFE7F3EA"/>
        </x:patternFill>
      </x:fill>
    </x:dxf>
    <x:dxf>
      <x:font>
        <x:b/>
        <x:color rgb="FF8F2D2D"/>
      </x:font>
      <x:fill>
        <x:patternFill patternType="solid">
          <x:bgColor rgb="FFFCE8E8"/>
        </x:patternFill>
      </x:fill>
    </x:dxf>
    <x:dxf>
      <x:font>
        <x:color rgb="FF8A5A00"/>
      </x:font>
      <x:fill>
        <x:patternFill patternType="solid">
          <x:bgColor rgb="FFFFF3D6"/>
        </x:patternFill>
      </x:fill>
    </x:dxf>
    <x:dxf>
      <x:font>
        <x:color rgb="FF2F5D7C"/>
      </x:font>
      <x:fill>
        <x:patternFill patternType="solid">
          <x:bgColor rgb="FFE8F0F6"/>
        </x:patternFill>
      </x:fill>
    </x:dxf>
    <x:dxf>
      <x:font>
        <x:color rgb="FF69645E"/>
      </x:font>
      <x:fill>
        <x:patternFill patternType="solid">
          <x:bgColor rgb="FFEEEEEC"/>
        </x:patternFill>
      </x:fill>
    </x:dxf>
    <x:dxf>
      <x:font>
        <x:b/>
        <x:color rgb="FF8F2D2D"/>
      </x:font>
      <x:fill>
        <x:patternFill patternType="solid">
          <x:bgColor rgb="FFFC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168fc9bfd94f5b" /><Relationship Type="http://schemas.openxmlformats.org/officeDocument/2006/relationships/theme" Target="/xl/theme/theme1.xml" Id="R309257e2f2d642ed" /><Relationship Type="http://schemas.openxmlformats.org/officeDocument/2006/relationships/sharedStrings" Target="/xl/sharedStrings.xml" Id="R26c3622b85314a1e" /><Relationship Type="http://schemas.openxmlformats.org/officeDocument/2006/relationships/worksheet" Target="/xl/worksheets/sheet1.xml" Id="R00b98061fc8e4a58" /><Relationship Type="http://schemas.openxmlformats.org/officeDocument/2006/relationships/worksheet" Target="/xl/worksheets/sheet2.xml" Id="R0e10f9c1fb874407" /><Relationship Type="http://schemas.openxmlformats.org/officeDocument/2006/relationships/worksheet" Target="/xl/worksheets/sheet3.xml" Id="Rd2be2fd782cb4517" /><Relationship Type="http://schemas.openxmlformats.org/officeDocument/2006/relationships/worksheet" Target="/xl/worksheets/sheet4.xml" Id="R35bc7ea7bee24372" /><Relationship Type="http://schemas.openxmlformats.org/officeDocument/2006/relationships/worksheet" Target="/xl/worksheets/sheet5.xml" Id="R51778a5134714239" /><Relationship Type="http://schemas.openxmlformats.org/officeDocument/2006/relationships/worksheet" Target="/xl/worksheets/sheet6.xml" Id="Re7175e67378f4f3b" /><Relationship Type="http://schemas.openxmlformats.org/officeDocument/2006/relationships/worksheet" Target="/xl/worksheets/sheet7.xml" Id="Recf91c4415974bff" /><Relationship Type="http://schemas.openxmlformats.org/officeDocument/2006/relationships/worksheet" Target="/xl/worksheets/sheet8.xml" Id="R4ec7be722d9946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b096a8cf67a47c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Keyword ownership by planned asset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Asset title</c:v>
          </c:tx>
          <c:cat>
            <c:strRef>
              <c:f>'Summary'!$A$17:$A$35</c:f>
              <c:strCache>
                <c:ptCount val="0"/>
              </c:strCache>
            </c:strRef>
          </c:cat>
          <c:val>
            <c:numRef>
              <c:f>'Summary'!$B$17:$B$35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Keyword count</c:v>
          </c:tx>
          <c:cat>
            <c:strRef>
              <c:f>'Summary'!$A$17:$A$35</c:f>
              <c:strCache>
                <c:ptCount val="0"/>
              </c:strCache>
            </c:strRef>
          </c:cat>
          <c:val>
            <c:numRef>
              <c:f>'Summary'!$C$17:$C$35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15</xdr:row>
      <xdr:rowOff>0</xdr:rowOff>
    </xdr:from>
    <xdr:to>
      <xdr:col>12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096a8cf67a47c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6" name="RawKeywordEvidenceTable" displayName="RawKeywordEvidenceTable" ref="A1:U63" headerRowCount="1" totalsRowCount="0" totalsRowShown="0">
  <x:tableColumns count="21">
    <x:tableColumn id="1" name="Priority"/>
    <x:tableColumn id="2" name="Topic Cluster"/>
    <x:tableColumn id="3" name="Proposed Query"/>
    <x:tableColumn id="4" name="Semrush Intent"/>
    <x:tableColumn id="5" name="Funnel Stage"/>
    <x:tableColumn id="6" name="Recommended Asset"/>
    <x:tableColumn id="7" name="US Volume"/>
    <x:tableColumn id="8" name="KD %"/>
    <x:tableColumn id="9" name="CPC USD"/>
    <x:tableColumn id="10" name="Validation Status"/>
    <x:tableColumn id="11" name="Why Selected"/>
    <x:tableColumn id="12" name="Decision"/>
    <x:tableColumn id="13" name="Moz SERP Date"/>
    <x:tableColumn id="14" name="Moz Desktop Rank"/>
    <x:tableColumn id="15" name="Moz Desktop Change"/>
    <x:tableColumn id="16" name="Moz Desktop URL"/>
    <x:tableColumn id="17" name="Moz Volume Range"/>
    <x:tableColumn id="18" name="Moz Mobile Rank"/>
    <x:tableColumn id="19" name="Moz Mobile Change"/>
    <x:tableColumn id="20" name="Moz Mobile URL"/>
    <x:tableColumn id="21" name="Evidence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KeywordMasterTable" displayName="KeywordMasterTable" ref="A4:W66" headerRowCount="1" totalsRowCount="0" totalsRowShown="0">
  <x:tableColumns count="23">
    <x:tableColumn id="1" name="Priority"/>
    <x:tableColumn id="2" name="Proposed Query"/>
    <x:tableColumn id="3" name="Topic Cluster"/>
    <x:tableColumn id="4" name="Semrush Intent"/>
    <x:tableColumn id="5" name="Funnel Stage"/>
    <x:tableColumn id="6" name="US Volume"/>
    <x:tableColumn id="7" name="KD %"/>
    <x:tableColumn id="8" name="CPC USD"/>
    <x:tableColumn id="9" name="Asset ID"/>
    <x:tableColumn id="10" name="Asset Title / Rejection"/>
    <x:tableColumn id="11" name="Owner URL / Slug"/>
    <x:tableColumn id="12" name="Disposition"/>
    <x:tableColumn id="13" name="Scope State"/>
    <x:tableColumn id="14" name="Build Window"/>
    <x:tableColumn id="15" name="Original Recommended Asset"/>
    <x:tableColumn id="16" name="Original Decision"/>
    <x:tableColumn id="17" name="Validation Status"/>
    <x:tableColumn id="18" name="Moz SERP Date"/>
    <x:tableColumn id="19" name="Moz Desktop Rank"/>
    <x:tableColumn id="20" name="Moz Mobile Rank"/>
    <x:tableColumn id="21" name="Moz Volume Range"/>
    <x:tableColumn id="22" name="Evidence Note"/>
    <x:tableColumn id="23" name="Why Select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AssetRegisterTable" displayName="AssetRegisterTable" ref="A4:L23" headerRowCount="1" totalsRowCount="0" totalsRowShown="0">
  <x:tableColumns count="12">
    <x:tableColumn id="1" name="Asset ID"/>
    <x:tableColumn id="2" name="Type"/>
    <x:tableColumn id="3" name="Title"/>
    <x:tableColumn id="4" name="Owner URL / Slug"/>
    <x:tableColumn id="5" name="Reader Job"/>
    <x:tableColumn id="6" name="Funnel Stage"/>
    <x:tableColumn id="7" name="Scope Bucket"/>
    <x:tableColumn id="8" name="Build Window"/>
    <x:tableColumn id="9" name="Scope State"/>
    <x:tableColumn id="10" name="Primary CTA"/>
    <x:tableColumn id="11" name="Source / Approval Needs"/>
    <x:tableColumn id="12" name="Internal Link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Calendar90DayTable" displayName="Calendar90DayTable" ref="A4:F17" headerRowCount="1" totalsRowCount="0" totalsRowShown="0">
  <x:tableColumns count="6">
    <x:tableColumn id="1" name="Window"/>
    <x:tableColumn id="2" name="Asset / Workstream"/>
    <x:tableColumn id="3" name="Scope"/>
    <x:tableColumn id="4" name="Reader or Release Job"/>
    <x:tableColumn id="5" name="Current State"/>
    <x:tableColumn id="6" name="Approval Boundar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Roadmap12MonthTable" displayName="Roadmap12MonthTable" ref="A4:F16" headerRowCount="1" totalsRowCount="0" totalsRowShown="0">
  <x:tableColumns count="6">
    <x:tableColumn id="1" name="Month"/>
    <x:tableColumn id="2" name="Focus"/>
    <x:tableColumn id="3" name="Primary Asset"/>
    <x:tableColumn id="4" name="Existing Asset Refresh"/>
    <x:tableColumn id="5" name="Proof or Tool"/>
    <x:tableColumn id="6" name="Measurement Ques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ClaimsPermissionsTable" displayName="ClaimsPermissionsTable" ref="A4:I20" headerRowCount="1" totalsRowCount="0" totalsRowShown="0">
  <x:tableColumns count="9">
    <x:tableColumn id="1" name="Claim ID"/>
    <x:tableColumn id="2" name="Timestamp"/>
    <x:tableColumn id="3" name="Speaker"/>
    <x:tableColumn id="4" name="Working claim"/>
    <x:tableColumn id="5" name="Claim type"/>
    <x:tableColumn id="6" name="Permission"/>
    <x:tableColumn id="7" name="Target assets"/>
    <x:tableColumn id="8" name="Verification needed"/>
    <x:tableColumn id="9" name="Public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305aa51bb14d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dfdde6eef1047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cd0cf8612e4e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f190a05cc04b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8f49b121fe41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eaf364bc1245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e299aec77644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</x:cols>
  <x:sheetData>
    <x:row r="1" ht="28" customHeight="1">
      <x:c r="A1" s="132" t="str">
        <x:v>Priority</x:v>
      </x:c>
      <x:c r="B1" s="132" t="str">
        <x:v>Topic Cluster</x:v>
      </x:c>
      <x:c r="C1" s="132" t="str">
        <x:v>Proposed Query</x:v>
      </x:c>
      <x:c r="D1" s="132" t="str">
        <x:v>Semrush Intent</x:v>
      </x:c>
      <x:c r="E1" s="132" t="str">
        <x:v>Funnel Stage</x:v>
      </x:c>
      <x:c r="F1" s="132" t="str">
        <x:v>Recommended Asset</x:v>
      </x:c>
      <x:c r="G1" s="132" t="str">
        <x:v>US Volume</x:v>
      </x:c>
      <x:c r="H1" s="132" t="str">
        <x:v>KD %</x:v>
      </x:c>
      <x:c r="I1" s="132" t="str">
        <x:v>CPC USD</x:v>
      </x:c>
      <x:c r="J1" s="132" t="str">
        <x:v>Validation Status</x:v>
      </x:c>
      <x:c r="K1" s="132" t="str">
        <x:v>Why Selected</x:v>
      </x:c>
      <x:c r="L1" s="132" t="str">
        <x:v>Decision</x:v>
      </x:c>
      <x:c r="M1" s="132" t="str">
        <x:v>Moz SERP Date</x:v>
      </x:c>
      <x:c r="N1" s="132" t="str">
        <x:v>Moz Desktop Rank</x:v>
      </x:c>
      <x:c r="O1" s="132" t="str">
        <x:v>Moz Desktop Change</x:v>
      </x:c>
      <x:c r="P1" s="132" t="str">
        <x:v>Moz Desktop URL</x:v>
      </x:c>
      <x:c r="Q1" s="132" t="str">
        <x:v>Moz Volume Range</x:v>
      </x:c>
      <x:c r="R1" s="132" t="str">
        <x:v>Moz Mobile Rank</x:v>
      </x:c>
      <x:c r="S1" s="132" t="str">
        <x:v>Moz Mobile Change</x:v>
      </x:c>
      <x:c r="T1" s="132" t="str">
        <x:v>Moz Mobile URL</x:v>
      </x:c>
      <x:c r="U1" s="132" t="str">
        <x:v>Evidence Note</x:v>
      </x:c>
    </x:row>
    <x:row r="2">
      <x:c r="A2" s="66" t="str">
        <x:v>1</x:v>
      </x:c>
      <x:c r="B2" s="66" t="str">
        <x:v>SEO and visibility</x:v>
      </x:c>
      <x:c r="C2" s="66" t="str">
        <x:v>SEO for home builders</x:v>
      </x:c>
      <x:c r="D2" s="66" t="str">
        <x:v>Informational</x:v>
      </x:c>
      <x:c r="E2" s="66" t="str">
        <x:v>Consideration</x:v>
      </x:c>
      <x:c r="F2" s="66" t="str">
        <x:v>Subpillar</x:v>
      </x:c>
      <x:c r="G2" s="66" t="str">
        <x:v>590</x:v>
      </x:c>
      <x:c r="H2" s="66" t="str">
        <x:v>2</x:v>
      </x:c>
      <x:c r="I2" s="66" t="str">
        <x:v>6.43</x:v>
      </x:c>
      <x:c r="J2" s="66" t="str">
        <x:v>Live Semrush US desktop 2026-08-04</x:v>
      </x:c>
      <x:c r="K2" s="66" t="str">
        <x:v>Highest combination of service relevance meaningful volume and very low difficulty</x:v>
      </x:c>
      <x:c r="L2" s="66" t="str">
        <x:v>Build now</x:v>
      </x:c>
      <x:c r="M2" s="66" t="str"/>
      <x:c r="N2" s="66" t="str"/>
      <x:c r="O2" s="66" t="str"/>
      <x:c r="P2" s="66" t="str"/>
      <x:c r="Q2" s="66" t="str"/>
      <x:c r="R2" s="66" t="str"/>
      <x:c r="S2" s="66" t="str"/>
      <x:c r="T2" s="66" t="str"/>
      <x:c r="U2" s="66" t="str">
        <x:v>Not tracked in the August 17 Moz export; retain the Semrush demand and difficulty decision.</x:v>
      </x:c>
    </x:row>
    <x:row r="3">
      <x:c r="A3" s="67" t="str">
        <x:v>2</x:v>
      </x:c>
      <x:c r="B3" s="67" t="str">
        <x:v>Core authority</x:v>
      </x:c>
      <x:c r="C3" s="67" t="str">
        <x:v>custom home builder marketing</x:v>
      </x:c>
      <x:c r="D3" s="67" t="str">
        <x:v>Informational</x:v>
      </x:c>
      <x:c r="E3" s="67" t="str">
        <x:v>Consideration</x:v>
      </x:c>
      <x:c r="F3" s="67" t="str">
        <x:v>Pillar page</x:v>
      </x:c>
      <x:c r="G3" s="67" t="str">
        <x:v>480</x:v>
      </x:c>
      <x:c r="H3" s="67" t="str">
        <x:v>9</x:v>
      </x:c>
      <x:c r="I3" s="67" t="str">
        <x:v>9.03</x:v>
      </x:c>
      <x:c r="J3" s="67" t="str">
        <x:v>Live Semrush US desktop 2026-08-04</x:v>
      </x:c>
      <x:c r="K3" s="67" t="str">
        <x:v>Exact approved category with very easy difficulty and meaningful commercial value</x:v>
      </x:c>
      <x:c r="L3" s="67" t="str">
        <x:v>Build now</x:v>
      </x:c>
      <x:c r="M3" s="67" t="str"/>
      <x:c r="N3" s="67" t="str"/>
      <x:c r="O3" s="67" t="str"/>
      <x:c r="P3" s="67" t="str"/>
      <x:c r="Q3" s="67" t="str"/>
      <x:c r="R3" s="67" t="str"/>
      <x:c r="S3" s="67" t="str"/>
      <x:c r="T3" s="67" t="str"/>
      <x:c r="U3" s="67" t="str">
        <x:v>Not tracked in the August 17 Moz export; retain the Semrush demand and difficulty decision.</x:v>
      </x:c>
    </x:row>
    <x:row r="4">
      <x:c r="A4" s="67" t="str">
        <x:v>3</x:v>
      </x:c>
      <x:c r="B4" s="67" t="str">
        <x:v>Website conversion</x:v>
      </x:c>
      <x:c r="C4" s="67" t="str">
        <x:v>home builder website not generating leads</x:v>
      </x:c>
      <x:c r="D4" s="67" t="str">
        <x:v>Informational</x:v>
      </x:c>
      <x:c r="E4" s="67" t="str">
        <x:v>Consideration</x:v>
      </x:c>
      <x:c r="F4" s="67" t="str">
        <x:v>Supporting article</x:v>
      </x:c>
      <x:c r="G4" s="67" t="str">
        <x:v>880</x:v>
      </x:c>
      <x:c r="H4" s="67" t="str">
        <x:v>4</x:v>
      </x:c>
      <x:c r="I4" s="67" t="str">
        <x:v>0.00</x:v>
      </x:c>
      <x:c r="J4" s="67" t="str">
        <x:v>Live Semrush US desktop 2026-08-04</x:v>
      </x:c>
      <x:c r="K4" s="67" t="str">
        <x:v>High volume pain point with very low difficulty and natural conversion audit CTA</x:v>
      </x:c>
      <x:c r="L4" s="67" t="str">
        <x:v>Build now</x:v>
      </x:c>
      <x:c r="M4" s="67" t="str"/>
      <x:c r="N4" s="67" t="str"/>
      <x:c r="O4" s="67" t="str"/>
      <x:c r="P4" s="67" t="str"/>
      <x:c r="Q4" s="67" t="str"/>
      <x:c r="R4" s="67" t="str"/>
      <x:c r="S4" s="67" t="str"/>
      <x:c r="T4" s="67" t="str"/>
      <x:c r="U4" s="67" t="str">
        <x:v>Not tracked in the August 17 Moz export; retain the Semrush demand and difficulty decision.</x:v>
      </x:c>
    </x:row>
    <x:row r="5">
      <x:c r="A5" s="67" t="str">
        <x:v>4</x:v>
      </x:c>
      <x:c r="B5" s="67" t="str">
        <x:v>Audience strategy</x:v>
      </x:c>
      <x:c r="C5" s="67" t="str">
        <x:v>custom home builder target market segments</x:v>
      </x:c>
      <x:c r="D5" s="67" t="str">
        <x:v>Informational</x:v>
      </x:c>
      <x:c r="E5" s="67" t="str">
        <x:v>Awareness</x:v>
      </x:c>
      <x:c r="F5" s="67" t="str">
        <x:v>Supporting guide</x:v>
      </x:c>
      <x:c r="G5" s="67" t="str">
        <x:v>1000</x:v>
      </x:c>
      <x:c r="H5" s="67" t="str">
        <x:v>17</x:v>
      </x:c>
      <x:c r="I5" s="67" t="str">
        <x:v>0.00</x:v>
      </x:c>
      <x:c r="J5" s="67" t="str">
        <x:v>Live Semrush US desktop 2026-08-04</x:v>
      </x:c>
      <x:c r="K5" s="67" t="str">
        <x:v>Highest relevant informational demand and strong strategy differentiation</x:v>
      </x:c>
      <x:c r="L5" s="67" t="str">
        <x:v>Build now</x:v>
      </x:c>
      <x:c r="M5" s="67" t="str"/>
      <x:c r="N5" s="67" t="str"/>
      <x:c r="O5" s="67" t="str"/>
      <x:c r="P5" s="67" t="str"/>
      <x:c r="Q5" s="67" t="str"/>
      <x:c r="R5" s="67" t="str"/>
      <x:c r="S5" s="67" t="str"/>
      <x:c r="T5" s="67" t="str"/>
      <x:c r="U5" s="67" t="str">
        <x:v>Not tracked in the August 17 Moz export; retain the Semrush demand and difficulty decision.</x:v>
      </x:c>
    </x:row>
    <x:row r="6">
      <x:c r="A6" s="67" t="str">
        <x:v>5</x:v>
      </x:c>
      <x:c r="B6" s="67" t="str">
        <x:v>Strategy</x:v>
      </x:c>
      <x:c r="C6" s="67" t="str">
        <x:v>home builder marketing</x:v>
      </x:c>
      <x:c r="D6" s="67" t="str">
        <x:v>Informational</x:v>
      </x:c>
      <x:c r="E6" s="67" t="str">
        <x:v>Consideration</x:v>
      </x:c>
      <x:c r="F6" s="67" t="str">
        <x:v>Core category hub</x:v>
      </x:c>
      <x:c r="G6" s="67" t="str">
        <x:v>1000</x:v>
      </x:c>
      <x:c r="H6" s="67" t="str">
        <x:v>28</x:v>
      </x:c>
      <x:c r="I6" s="67" t="str">
        <x:v>10.20</x:v>
      </x:c>
      <x:c r="J6" s="67" t="str">
        <x:v>Live Semrush US desktop 2026-08-04</x:v>
      </x:c>
      <x:c r="K6" s="67" t="str">
        <x:v>Large category term with strong CPC and direct service relevance</x:v>
      </x:c>
      <x:c r="L6" s="67" t="str">
        <x:v>Build as pillar expansion</x:v>
      </x:c>
      <x:c r="M6" s="67" t="str"/>
      <x:c r="N6" s="67" t="str"/>
      <x:c r="O6" s="67" t="str"/>
      <x:c r="P6" s="67" t="str"/>
      <x:c r="Q6" s="67" t="str"/>
      <x:c r="R6" s="67" t="str"/>
      <x:c r="S6" s="67" t="str"/>
      <x:c r="T6" s="67" t="str"/>
      <x:c r="U6" s="67" t="str">
        <x:v>Not tracked in the August 17 Moz export; retain the Semrush demand and difficulty decision.</x:v>
      </x:c>
    </x:row>
    <x:row r="7">
      <x:c r="A7" s="67" t="str">
        <x:v>6</x:v>
      </x:c>
      <x:c r="B7" s="67" t="str">
        <x:v>Website conversion</x:v>
      </x:c>
      <x:c r="C7" s="67" t="str">
        <x:v>home builder website design</x:v>
      </x:c>
      <x:c r="D7" s="67" t="str">
        <x:v>Commercial</x:v>
      </x:c>
      <x:c r="E7" s="67" t="str">
        <x:v>Decision</x:v>
      </x:c>
      <x:c r="F7" s="67" t="str">
        <x:v>Service page support</x:v>
      </x:c>
      <x:c r="G7" s="67" t="str">
        <x:v>480</x:v>
      </x:c>
      <x:c r="H7" s="67" t="str">
        <x:v>15</x:v>
      </x:c>
      <x:c r="I7" s="67" t="str">
        <x:v>5.38</x:v>
      </x:c>
      <x:c r="J7" s="67" t="str">
        <x:v>Live Semrush US desktop 2026-08-04</x:v>
      </x:c>
      <x:c r="K7" s="67" t="str">
        <x:v>Direct fit with BigOrange website capabilities and favorable difficulty</x:v>
      </x:c>
      <x:c r="L7" s="67" t="str">
        <x:v>Build now</x:v>
      </x:c>
      <x:c r="M7" s="67" t="str"/>
      <x:c r="N7" s="67" t="str"/>
      <x:c r="O7" s="67" t="str"/>
      <x:c r="P7" s="67" t="str"/>
      <x:c r="Q7" s="67" t="str"/>
      <x:c r="R7" s="67" t="str"/>
      <x:c r="S7" s="67" t="str"/>
      <x:c r="T7" s="67" t="str"/>
      <x:c r="U7" s="67" t="str">
        <x:v>Not tracked in the August 17 Moz export; retain the Semrush demand and difficulty decision.</x:v>
      </x:c>
    </x:row>
    <x:row r="8">
      <x:c r="A8" s="67" t="str">
        <x:v>7</x:v>
      </x:c>
      <x:c r="B8" s="67" t="str">
        <x:v>Core authority</x:v>
      </x:c>
      <x:c r="C8" s="67" t="str">
        <x:v>home building marketing</x:v>
      </x:c>
      <x:c r="D8" s="67" t="str">
        <x:v>Informational</x:v>
      </x:c>
      <x:c r="E8" s="67" t="str">
        <x:v>Consideration</x:v>
      </x:c>
      <x:c r="F8" s="67" t="str">
        <x:v>Pillar variation</x:v>
      </x:c>
      <x:c r="G8" s="67" t="str">
        <x:v>390</x:v>
      </x:c>
      <x:c r="H8" s="67" t="str">
        <x:v>12</x:v>
      </x:c>
      <x:c r="I8" s="67" t="str">
        <x:v>10.20</x:v>
      </x:c>
      <x:c r="J8" s="67" t="str">
        <x:v>Live Semrush US desktop 2026-08-04</x:v>
      </x:c>
      <x:c r="K8" s="67" t="str">
        <x:v>Close category variation with very easy difficulty and high CPC</x:v>
      </x:c>
      <x:c r="L8" s="67" t="str">
        <x:v>Map to pillar</x:v>
      </x:c>
      <x:c r="M8" s="67" t="str"/>
      <x:c r="N8" s="67" t="str"/>
      <x:c r="O8" s="67" t="str"/>
      <x:c r="P8" s="67" t="str"/>
      <x:c r="Q8" s="67" t="str"/>
      <x:c r="R8" s="67" t="str"/>
      <x:c r="S8" s="67" t="str"/>
      <x:c r="T8" s="67" t="str"/>
      <x:c r="U8" s="67" t="str">
        <x:v>Not tracked in the August 17 Moz export; retain the Semrush demand and difficulty decision.</x:v>
      </x:c>
    </x:row>
    <x:row r="9">
      <x:c r="A9" s="67" t="str">
        <x:v>8</x:v>
      </x:c>
      <x:c r="B9" s="67" t="str">
        <x:v>Digital strategy</x:v>
      </x:c>
      <x:c r="C9" s="67" t="str">
        <x:v>home builder digital marketing</x:v>
      </x:c>
      <x:c r="D9" s="67" t="str">
        <x:v>Informational</x:v>
      </x:c>
      <x:c r="E9" s="67" t="str">
        <x:v>Consideration</x:v>
      </x:c>
      <x:c r="F9" s="67" t="str">
        <x:v>Subpillar</x:v>
      </x:c>
      <x:c r="G9" s="67" t="str">
        <x:v>320</x:v>
      </x:c>
      <x:c r="H9" s="67" t="str">
        <x:v>23</x:v>
      </x:c>
      <x:c r="I9" s="67" t="str">
        <x:v>0.00</x:v>
      </x:c>
      <x:c r="J9" s="67" t="str">
        <x:v>Live Semrush US desktop 2026-08-04</x:v>
      </x:c>
      <x:c r="K9" s="67" t="str">
        <x:v>Broad builder specific service category with viable difficulty</x:v>
      </x:c>
      <x:c r="L9" s="67" t="str">
        <x:v>Build in first 60 days</x:v>
      </x:c>
      <x:c r="M9" s="67" t="str"/>
      <x:c r="N9" s="67" t="str"/>
      <x:c r="O9" s="67" t="str"/>
      <x:c r="P9" s="67" t="str"/>
      <x:c r="Q9" s="67" t="str"/>
      <x:c r="R9" s="67" t="str"/>
      <x:c r="S9" s="67" t="str"/>
      <x:c r="T9" s="67" t="str"/>
      <x:c r="U9" s="67" t="str">
        <x:v>Not tracked in the August 17 Moz export; retain the Semrush demand and difficulty decision.</x:v>
      </x:c>
    </x:row>
    <x:row r="10">
      <x:c r="A10" s="67" t="str">
        <x:v>9</x:v>
      </x:c>
      <x:c r="B10" s="67" t="str">
        <x:v>Strategy</x:v>
      </x:c>
      <x:c r="C10" s="67" t="str">
        <x:v>home builder marketing plan</x:v>
      </x:c>
      <x:c r="D10" s="67" t="str">
        <x:v>Informational</x:v>
      </x:c>
      <x:c r="E10" s="67" t="str">
        <x:v>Awareness</x:v>
      </x:c>
      <x:c r="F10" s="67" t="str">
        <x:v>Guide and template</x:v>
      </x:c>
      <x:c r="G10" s="67" t="str">
        <x:v>320</x:v>
      </x:c>
      <x:c r="H10" s="67" t="str">
        <x:v>15</x:v>
      </x:c>
      <x:c r="I10" s="67" t="str">
        <x:v>0.00</x:v>
      </x:c>
      <x:c r="J10" s="67" t="str">
        <x:v>Live Semrush US desktop 2026-08-04</x:v>
      </x:c>
      <x:c r="K10" s="67" t="str">
        <x:v>Strong planning query with natural consultation and download CTA</x:v>
      </x:c>
      <x:c r="L10" s="67" t="str">
        <x:v>Build in first 60 days</x:v>
      </x:c>
      <x:c r="M10" s="67" t="str"/>
      <x:c r="N10" s="67" t="str"/>
      <x:c r="O10" s="67" t="str"/>
      <x:c r="P10" s="67" t="str"/>
      <x:c r="Q10" s="67" t="str"/>
      <x:c r="R10" s="67" t="str"/>
      <x:c r="S10" s="67" t="str"/>
      <x:c r="T10" s="67" t="str"/>
      <x:c r="U10" s="67" t="str">
        <x:v>Not tracked in the August 17 Moz export; retain the Semrush demand and difficulty decision.</x:v>
      </x:c>
    </x:row>
    <x:row r="11">
      <x:c r="A11" s="67" t="str">
        <x:v>10</x:v>
      </x:c>
      <x:c r="B11" s="67" t="str">
        <x:v>Strategy</x:v>
      </x:c>
      <x:c r="C11" s="67" t="str">
        <x:v>home builder marketing ideas</x:v>
      </x:c>
      <x:c r="D11" s="67" t="str">
        <x:v>Informational</x:v>
      </x:c>
      <x:c r="E11" s="67" t="str">
        <x:v>Awareness</x:v>
      </x:c>
      <x:c r="F11" s="67" t="str">
        <x:v>Supporting article</x:v>
      </x:c>
      <x:c r="G11" s="67" t="str">
        <x:v>320</x:v>
      </x:c>
      <x:c r="H11" s="67" t="str">
        <x:v>19</x:v>
      </x:c>
      <x:c r="I11" s="67" t="str">
        <x:v>0.00</x:v>
      </x:c>
      <x:c r="J11" s="67" t="str">
        <x:v>Live Semrush US desktop 2026-08-04</x:v>
      </x:c>
      <x:c r="K11" s="67" t="str">
        <x:v>Useful discovery term that can feed the authority hub</x:v>
      </x:c>
      <x:c r="L11" s="67" t="str">
        <x:v>Build in first 60 days</x:v>
      </x:c>
      <x:c r="M11" s="67" t="str"/>
      <x:c r="N11" s="67" t="str"/>
      <x:c r="O11" s="67" t="str"/>
      <x:c r="P11" s="67" t="str"/>
      <x:c r="Q11" s="67" t="str"/>
      <x:c r="R11" s="67" t="str"/>
      <x:c r="S11" s="67" t="str"/>
      <x:c r="T11" s="67" t="str"/>
      <x:c r="U11" s="67" t="str">
        <x:v>Not tracked in the August 17 Moz export; retain the Semrush demand and difficulty decision.</x:v>
      </x:c>
    </x:row>
    <x:row r="12">
      <x:c r="A12" s="67" t="str">
        <x:v>11</x:v>
      </x:c>
      <x:c r="B12" s="67" t="str">
        <x:v>Lead generation</x:v>
      </x:c>
      <x:c r="C12" s="67" t="str">
        <x:v>home builder lead generation</x:v>
      </x:c>
      <x:c r="D12" s="67" t="str">
        <x:v>Informational plus Commercial</x:v>
      </x:c>
      <x:c r="E12" s="67" t="str">
        <x:v>Consideration</x:v>
      </x:c>
      <x:c r="F12" s="67" t="str">
        <x:v>Subpillar</x:v>
      </x:c>
      <x:c r="G12" s="67" t="str">
        <x:v>260</x:v>
      </x:c>
      <x:c r="H12" s="67" t="str">
        <x:v>14</x:v>
      </x:c>
      <x:c r="I12" s="67" t="str">
        <x:v>0.00</x:v>
      </x:c>
      <x:c r="J12" s="67" t="str">
        <x:v>Live Semrush US desktop 2026-08-04</x:v>
      </x:c>
      <x:c r="K12" s="67" t="str">
        <x:v>Direct business outcome and common builder growth need</x:v>
      </x:c>
      <x:c r="L12" s="67" t="str">
        <x:v>Build in first 60 days</x:v>
      </x:c>
      <x:c r="M12" s="67" t="str"/>
      <x:c r="N12" s="67" t="str"/>
      <x:c r="O12" s="67" t="str"/>
      <x:c r="P12" s="67" t="str"/>
      <x:c r="Q12" s="67" t="str"/>
      <x:c r="R12" s="67" t="str"/>
      <x:c r="S12" s="67" t="str"/>
      <x:c r="T12" s="67" t="str"/>
      <x:c r="U12" s="67" t="str">
        <x:v>Not tracked in the August 17 Moz export; retain the Semrush demand and difficulty decision.</x:v>
      </x:c>
    </x:row>
    <x:row r="13">
      <x:c r="A13" s="67" t="str">
        <x:v>12</x:v>
      </x:c>
      <x:c r="B13" s="67" t="str">
        <x:v>Core authority</x:v>
      </x:c>
      <x:c r="C13" s="67" t="str">
        <x:v>custom home builder marketing strategies</x:v>
      </x:c>
      <x:c r="D13" s="67" t="str">
        <x:v>Informational</x:v>
      </x:c>
      <x:c r="E13" s="67" t="str">
        <x:v>Consideration</x:v>
      </x:c>
      <x:c r="F13" s="67" t="str">
        <x:v>Supporting article</x:v>
      </x:c>
      <x:c r="G13" s="67" t="str">
        <x:v>260</x:v>
      </x:c>
      <x:c r="H13" s="67" t="str">
        <x:v>10</x:v>
      </x:c>
      <x:c r="I13" s="67" t="str">
        <x:v>0.00</x:v>
      </x:c>
      <x:c r="J13" s="67" t="str">
        <x:v>Live Semrush US desktop 2026-08-04</x:v>
      </x:c>
      <x:c r="K13" s="67" t="str">
        <x:v>Very easy strategic variation that strengthens topical authority</x:v>
      </x:c>
      <x:c r="L13" s="67" t="str">
        <x:v>Build now</x:v>
      </x:c>
      <x:c r="M13" s="67" t="str"/>
      <x:c r="N13" s="67" t="str"/>
      <x:c r="O13" s="67" t="str"/>
      <x:c r="P13" s="67" t="str"/>
      <x:c r="Q13" s="67" t="str"/>
      <x:c r="R13" s="67" t="str"/>
      <x:c r="S13" s="67" t="str"/>
      <x:c r="T13" s="67" t="str"/>
      <x:c r="U13" s="67" t="str">
        <x:v>Not tracked in the August 17 Moz export; retain the Semrush demand and difficulty decision.</x:v>
      </x:c>
    </x:row>
    <x:row r="14">
      <x:c r="A14" s="67" t="str">
        <x:v>13</x:v>
      </x:c>
      <x:c r="B14" s="67" t="str">
        <x:v>Local visibility</x:v>
      </x:c>
      <x:c r="C14" s="67" t="str">
        <x:v>local SEO for home builders</x:v>
      </x:c>
      <x:c r="D14" s="67" t="str">
        <x:v>Informational</x:v>
      </x:c>
      <x:c r="E14" s="67" t="str">
        <x:v>Consideration</x:v>
      </x:c>
      <x:c r="F14" s="67" t="str">
        <x:v>Supporting article</x:v>
      </x:c>
      <x:c r="G14" s="67" t="str">
        <x:v>170</x:v>
      </x:c>
      <x:c r="H14" s="67" t="str">
        <x:v>2</x:v>
      </x:c>
      <x:c r="I14" s="67" t="str">
        <x:v>0.00</x:v>
      </x:c>
      <x:c r="J14" s="67" t="str">
        <x:v>Live Semrush US desktop 2026-08-04</x:v>
      </x:c>
      <x:c r="K14" s="67" t="str">
        <x:v>Extremely low difficulty and aligned with service area visibility</x:v>
      </x:c>
      <x:c r="L14" s="67" t="str">
        <x:v>Build now</x:v>
      </x:c>
      <x:c r="M14" s="67" t="str"/>
      <x:c r="N14" s="67" t="str"/>
      <x:c r="O14" s="67" t="str"/>
      <x:c r="P14" s="67" t="str"/>
      <x:c r="Q14" s="67" t="str"/>
      <x:c r="R14" s="67" t="str"/>
      <x:c r="S14" s="67" t="str"/>
      <x:c r="T14" s="67" t="str"/>
      <x:c r="U14" s="67" t="str">
        <x:v>Not tracked in the August 17 Moz export; retain the Semrush demand and difficulty decision.</x:v>
      </x:c>
    </x:row>
    <x:row r="15">
      <x:c r="A15" s="67" t="str">
        <x:v>14</x:v>
      </x:c>
      <x:c r="B15" s="67" t="str">
        <x:v>Website conversion</x:v>
      </x:c>
      <x:c r="C15" s="67" t="str">
        <x:v>home builder websites</x:v>
      </x:c>
      <x:c r="D15" s="67" t="str">
        <x:v>Informational</x:v>
      </x:c>
      <x:c r="E15" s="67" t="str">
        <x:v>Consideration</x:v>
      </x:c>
      <x:c r="F15" s="67" t="str">
        <x:v>Gallery and evaluation guide</x:v>
      </x:c>
      <x:c r="G15" s="67" t="str">
        <x:v>320</x:v>
      </x:c>
      <x:c r="H15" s="67" t="str">
        <x:v>22</x:v>
      </x:c>
      <x:c r="I15" s="67" t="str">
        <x:v>2.33</x:v>
      </x:c>
      <x:c r="J15" s="67" t="str">
        <x:v>Live Semrush US desktop 2026-08-04</x:v>
      </x:c>
      <x:c r="K15" s="67" t="str">
        <x:v>Large website cluster term with proof and internal linking value</x:v>
      </x:c>
      <x:c r="L15" s="67" t="str">
        <x:v>Build in first 60 days</x:v>
      </x:c>
      <x:c r="M15" s="67" t="str"/>
      <x:c r="N15" s="67" t="str"/>
      <x:c r="O15" s="67" t="str"/>
      <x:c r="P15" s="67" t="str"/>
      <x:c r="Q15" s="67" t="str"/>
      <x:c r="R15" s="67" t="str"/>
      <x:c r="S15" s="67" t="str"/>
      <x:c r="T15" s="67" t="str"/>
      <x:c r="U15" s="67" t="str">
        <x:v>Not tracked in the August 17 Moz export; retain the Semrush demand and difficulty decision.</x:v>
      </x:c>
    </x:row>
    <x:row r="16">
      <x:c r="A16" s="67" t="str">
        <x:v>15</x:v>
      </x:c>
      <x:c r="B16" s="67" t="str">
        <x:v>Email</x:v>
      </x:c>
      <x:c r="C16" s="67" t="str">
        <x:v>home builder email marketing</x:v>
      </x:c>
      <x:c r="D16" s="67" t="str">
        <x:v>Informational</x:v>
      </x:c>
      <x:c r="E16" s="67" t="str">
        <x:v>Consideration</x:v>
      </x:c>
      <x:c r="F16" s="67" t="str">
        <x:v>Nurture guide</x:v>
      </x:c>
      <x:c r="G16" s="67" t="str">
        <x:v>320</x:v>
      </x:c>
      <x:c r="H16" s="67" t="str">
        <x:v>13</x:v>
      </x:c>
      <x:c r="I16" s="67" t="str">
        <x:v>0.00</x:v>
      </x:c>
      <x:c r="J16" s="67" t="str">
        <x:v>Live Semrush US desktop 2026-08-04</x:v>
      </x:c>
      <x:c r="K16" s="67" t="str">
        <x:v>Low difficulty channel topic suited to long builder sales cycles</x:v>
      </x:c>
      <x:c r="L16" s="67" t="str">
        <x:v>Build in first 90 days</x:v>
      </x:c>
      <x:c r="M16" s="67" t="str"/>
      <x:c r="N16" s="67" t="str"/>
      <x:c r="O16" s="67" t="str"/>
      <x:c r="P16" s="67" t="str"/>
      <x:c r="Q16" s="67" t="str"/>
      <x:c r="R16" s="67" t="str"/>
      <x:c r="S16" s="67" t="str"/>
      <x:c r="T16" s="67" t="str"/>
      <x:c r="U16" s="67" t="str">
        <x:v>Not tracked in the August 17 Moz export; retain the Semrush demand and difficulty decision.</x:v>
      </x:c>
    </x:row>
    <x:row r="17">
      <x:c r="A17" s="67" t="str">
        <x:v>16</x:v>
      </x:c>
      <x:c r="B17" s="67" t="str">
        <x:v>Automation</x:v>
      </x:c>
      <x:c r="C17" s="67" t="str">
        <x:v>home builder marketing automation</x:v>
      </x:c>
      <x:c r="D17" s="67" t="str">
        <x:v>Informational</x:v>
      </x:c>
      <x:c r="E17" s="67" t="str">
        <x:v>Decision</x:v>
      </x:c>
      <x:c r="F17" s="67" t="str">
        <x:v>Automation guide</x:v>
      </x:c>
      <x:c r="G17" s="67" t="str">
        <x:v>170</x:v>
      </x:c>
      <x:c r="H17" s="67" t="str">
        <x:v>5</x:v>
      </x:c>
      <x:c r="I17" s="67" t="str">
        <x:v>0.00</x:v>
      </x:c>
      <x:c r="J17" s="67" t="str">
        <x:v>Live Semrush US desktop 2026-08-04</x:v>
      </x:c>
      <x:c r="K17" s="67" t="str">
        <x:v>Very low difficulty and strong operational differentiation</x:v>
      </x:c>
      <x:c r="L17" s="67" t="str">
        <x:v>Build in first 90 days</x:v>
      </x:c>
      <x:c r="M17" s="67" t="str">
        <x:v>2026-08-14</x:v>
      </x:c>
      <x:c r="N17" s="67" t="str"/>
      <x:c r="O17" s="67" t="str"/>
      <x:c r="P17" s="67" t="str"/>
      <x:c r="Q17" s="67" t="str">
        <x:v>0-10</x:v>
      </x:c>
      <x:c r="R17" s="67" t="str"/>
      <x:c r="S17" s="67" t="str"/>
      <x:c r="T17" s="67" t="str"/>
      <x:c r="U17" s="67" t="str">
        <x:v>Tracked by Moz but not ranking on the latest date; Semrush remains the demand and opportunity source.</x:v>
      </x:c>
    </x:row>
    <x:row r="18">
      <x:c r="A18" s="67" t="str">
        <x:v>17</x:v>
      </x:c>
      <x:c r="B18" s="67" t="str">
        <x:v>Social</x:v>
      </x:c>
      <x:c r="C18" s="67" t="str">
        <x:v>social media marketing for home builders</x:v>
      </x:c>
      <x:c r="D18" s="67" t="str">
        <x:v>Informational</x:v>
      </x:c>
      <x:c r="E18" s="67" t="str">
        <x:v>Awareness</x:v>
      </x:c>
      <x:c r="F18" s="67" t="str">
        <x:v>Supporting guide</x:v>
      </x:c>
      <x:c r="G18" s="67" t="str">
        <x:v>170</x:v>
      </x:c>
      <x:c r="H18" s="67" t="str">
        <x:v>8</x:v>
      </x:c>
      <x:c r="I18" s="67" t="str">
        <x:v>0.00</x:v>
      </x:c>
      <x:c r="J18" s="67" t="str">
        <x:v>Live Semrush US desktop 2026-08-04</x:v>
      </x:c>
      <x:c r="K18" s="67" t="str">
        <x:v>Very easy relevant channel term for the broader content system</x:v>
      </x:c>
      <x:c r="L18" s="67" t="str">
        <x:v>Build in first 90 days</x:v>
      </x:c>
      <x:c r="M18" s="67" t="str"/>
      <x:c r="N18" s="67" t="str"/>
      <x:c r="O18" s="67" t="str"/>
      <x:c r="P18" s="67" t="str"/>
      <x:c r="Q18" s="67" t="str"/>
      <x:c r="R18" s="67" t="str"/>
      <x:c r="S18" s="67" t="str"/>
      <x:c r="T18" s="67" t="str"/>
      <x:c r="U18" s="67" t="str">
        <x:v>Not tracked in the August 17 Moz export; retain the Semrush demand and difficulty decision.</x:v>
      </x:c>
    </x:row>
    <x:row r="19">
      <x:c r="A19" s="67" t="str">
        <x:v>18</x:v>
      </x:c>
      <x:c r="B19" s="67" t="str">
        <x:v>Website conversion</x:v>
      </x:c>
      <x:c r="C19" s="67" t="str">
        <x:v>best home builder websites</x:v>
      </x:c>
      <x:c r="D19" s="67" t="str">
        <x:v>Commercial</x:v>
      </x:c>
      <x:c r="E19" s="67" t="str">
        <x:v>Consideration</x:v>
      </x:c>
      <x:c r="F19" s="67" t="str">
        <x:v>Gallery and scoring guide</x:v>
      </x:c>
      <x:c r="G19" s="67" t="str">
        <x:v>170</x:v>
      </x:c>
      <x:c r="H19" s="67" t="str">
        <x:v>15</x:v>
      </x:c>
      <x:c r="I19" s="67" t="str">
        <x:v>3.12</x:v>
      </x:c>
      <x:c r="J19" s="67" t="str">
        <x:v>Live Semrush US desktop 2026-08-04</x:v>
      </x:c>
      <x:c r="K19" s="67" t="str">
        <x:v>Commercial research intent with visual proof potential</x:v>
      </x:c>
      <x:c r="L19" s="67" t="str">
        <x:v>Build in first 60 days</x:v>
      </x:c>
      <x:c r="M19" s="67" t="str"/>
      <x:c r="N19" s="67" t="str"/>
      <x:c r="O19" s="67" t="str"/>
      <x:c r="P19" s="67" t="str"/>
      <x:c r="Q19" s="67" t="str"/>
      <x:c r="R19" s="67" t="str"/>
      <x:c r="S19" s="67" t="str"/>
      <x:c r="T19" s="67" t="str"/>
      <x:c r="U19" s="67" t="str">
        <x:v>Not tracked in the August 17 Moz export; retain the Semrush demand and difficulty decision.</x:v>
      </x:c>
    </x:row>
    <x:row r="20">
      <x:c r="A20" s="67" t="str">
        <x:v>19</x:v>
      </x:c>
      <x:c r="B20" s="67" t="str">
        <x:v>Website conversion</x:v>
      </x:c>
      <x:c r="C20" s="67" t="str">
        <x:v>custom home builder websites</x:v>
      </x:c>
      <x:c r="D20" s="67" t="str">
        <x:v>Informational</x:v>
      </x:c>
      <x:c r="E20" s="67" t="str">
        <x:v>Consideration</x:v>
      </x:c>
      <x:c r="F20" s="67" t="str">
        <x:v>Gallery and service support</x:v>
      </x:c>
      <x:c r="G20" s="67" t="str">
        <x:v>140</x:v>
      </x:c>
      <x:c r="H20" s="67" t="str">
        <x:v>17</x:v>
      </x:c>
      <x:c r="I20" s="67" t="str">
        <x:v>3.16</x:v>
      </x:c>
      <x:c r="J20" s="67" t="str">
        <x:v>Live Semrush US desktop 2026-08-04</x:v>
      </x:c>
      <x:c r="K20" s="67" t="str">
        <x:v>Specific website term closely aligned to target market</x:v>
      </x:c>
      <x:c r="L20" s="67" t="str">
        <x:v>Build in first 60 days</x:v>
      </x:c>
      <x:c r="M20" s="67" t="str"/>
      <x:c r="N20" s="67" t="str"/>
      <x:c r="O20" s="67" t="str"/>
      <x:c r="P20" s="67" t="str"/>
      <x:c r="Q20" s="67" t="str"/>
      <x:c r="R20" s="67" t="str"/>
      <x:c r="S20" s="67" t="str"/>
      <x:c r="T20" s="67" t="str"/>
      <x:c r="U20" s="67" t="str">
        <x:v>Not tracked in the August 17 Moz export; retain the Semrush demand and difficulty decision.</x:v>
      </x:c>
    </x:row>
    <x:row r="21">
      <x:c r="A21" s="67" t="str">
        <x:v>20</x:v>
      </x:c>
      <x:c r="B21" s="67" t="str">
        <x:v>Automation</x:v>
      </x:c>
      <x:c r="C21" s="67" t="str">
        <x:v>marketing automation for home builders</x:v>
      </x:c>
      <x:c r="D21" s="67" t="str">
        <x:v>Informational</x:v>
      </x:c>
      <x:c r="E21" s="67" t="str">
        <x:v>Decision</x:v>
      </x:c>
      <x:c r="F21" s="67" t="str">
        <x:v>Guide</x:v>
      </x:c>
      <x:c r="G21" s="67" t="str">
        <x:v>140</x:v>
      </x:c>
      <x:c r="H21" s="67" t="str">
        <x:v>0</x:v>
      </x:c>
      <x:c r="I21" s="67" t="str">
        <x:v>0.00</x:v>
      </x:c>
      <x:c r="J21" s="67" t="str">
        <x:v>Live Semrush US desktop 2026-08-04</x:v>
      </x:c>
      <x:c r="K21" s="67" t="str">
        <x:v>Zero reported difficulty and useful conversion operations angle</x:v>
      </x:c>
      <x:c r="L21" s="67" t="str">
        <x:v>Build in first 90 days</x:v>
      </x:c>
      <x:c r="M21" s="67" t="str"/>
      <x:c r="N21" s="67" t="str"/>
      <x:c r="O21" s="67" t="str"/>
      <x:c r="P21" s="67" t="str"/>
      <x:c r="Q21" s="67" t="str"/>
      <x:c r="R21" s="67" t="str"/>
      <x:c r="S21" s="67" t="str"/>
      <x:c r="T21" s="67" t="str"/>
      <x:c r="U21" s="67" t="str">
        <x:v>Not tracked in the August 17 Moz export; retain the Semrush demand and difficulty decision.</x:v>
      </x:c>
    </x:row>
    <x:row r="22">
      <x:c r="A22" s="67" t="str">
        <x:v>21</x:v>
      </x:c>
      <x:c r="B22" s="67" t="str">
        <x:v>Service positioning</x:v>
      </x:c>
      <x:c r="C22" s="67" t="str">
        <x:v>home builder marketing solutions</x:v>
      </x:c>
      <x:c r="D22" s="67" t="str">
        <x:v>Informational</x:v>
      </x:c>
      <x:c r="E22" s="67" t="str">
        <x:v>Decision</x:v>
      </x:c>
      <x:c r="F22" s="67" t="str">
        <x:v>Solution overview</x:v>
      </x:c>
      <x:c r="G22" s="67" t="str">
        <x:v>210</x:v>
      </x:c>
      <x:c r="H22" s="67" t="str">
        <x:v>5</x:v>
      </x:c>
      <x:c r="I22" s="67" t="str">
        <x:v>11.14</x:v>
      </x:c>
      <x:c r="J22" s="67" t="str">
        <x:v>Live Semrush US desktop 2026-08-04</x:v>
      </x:c>
      <x:c r="K22" s="67" t="str">
        <x:v>Very low difficulty with strong CPC and direct solution intent</x:v>
      </x:c>
      <x:c r="L22" s="67" t="str">
        <x:v>Build in first 60 days</x:v>
      </x:c>
      <x:c r="M22" s="67" t="str">
        <x:v>2026-08-14</x:v>
      </x:c>
      <x:c r="N22" s="67" t="str"/>
      <x:c r="O22" s="67" t="str"/>
      <x:c r="P22" s="67" t="str"/>
      <x:c r="Q22" s="67" t="str">
        <x:v>11-50</x:v>
      </x:c>
      <x:c r="R22" s="67" t="str"/>
      <x:c r="S22" s="67" t="str"/>
      <x:c r="T22" s="67" t="str"/>
      <x:c r="U22" s="67" t="str">
        <x:v>Tracked by Moz but not ranking on the latest date; Semrush remains the demand and opportunity source.</x:v>
      </x:c>
    </x:row>
    <x:row r="23">
      <x:c r="A23" s="67" t="str">
        <x:v>22</x:v>
      </x:c>
      <x:c r="B23" s="67" t="str">
        <x:v>Agency category</x:v>
      </x:c>
      <x:c r="C23" s="67" t="str">
        <x:v>home builder digital marketing agency</x:v>
      </x:c>
      <x:c r="D23" s="67" t="str">
        <x:v>Informational</x:v>
      </x:c>
      <x:c r="E23" s="67" t="str">
        <x:v>Decision</x:v>
      </x:c>
      <x:c r="F23" s="67" t="str">
        <x:v>Service page</x:v>
      </x:c>
      <x:c r="G23" s="67" t="str">
        <x:v>210</x:v>
      </x:c>
      <x:c r="H23" s="67" t="str">
        <x:v>15</x:v>
      </x:c>
      <x:c r="I23" s="67" t="str">
        <x:v>0.00</x:v>
      </x:c>
      <x:c r="J23" s="67" t="str">
        <x:v>Live Semrush US desktop 2026-08-04</x:v>
      </x:c>
      <x:c r="K23" s="67" t="str">
        <x:v>Builder specific agency intent with favorable difficulty</x:v>
      </x:c>
      <x:c r="L23" s="67" t="str">
        <x:v>Build in first 90 days</x:v>
      </x:c>
      <x:c r="M23" s="67" t="str">
        <x:v>2026-08-14</x:v>
      </x:c>
      <x:c r="N23" s="67" t="str">
        <x:v>2</x:v>
      </x:c>
      <x:c r="O23" s="67" t="str">
        <x:v>-1</x:v>
      </x:c>
      <x:c r="P23" s="67" t="str">
        <x:v>https://bigorange.marketing/marketing-agency-for-builders/</x:v>
      </x:c>
      <x:c r="Q23" s="67" t="str">
        <x:v>0-10</x:v>
      </x:c>
      <x:c r="R23" s="67" t="str">
        <x:v>2</x:v>
      </x:c>
      <x:c r="S23" s="67" t="str">
        <x:v>-1</x:v>
      </x:c>
      <x:c r="T23" s="67" t="str">
        <x:v>https://bigorange.marketing/marketing-agency-for-builders/</x:v>
      </x:c>
      <x:c r="U23" s="67" t="str">
        <x:v>Moz supplies current rank and landing-page evidence; Semrush remains the source for US volume, difficulty, intent, and build priority.</x:v>
      </x:c>
    </x:row>
    <x:row r="24">
      <x:c r="A24" s="67" t="str">
        <x:v>23</x:v>
      </x:c>
      <x:c r="B24" s="67" t="str">
        <x:v>Strategy</x:v>
      </x:c>
      <x:c r="C24" s="67" t="str">
        <x:v>new home builder marketing</x:v>
      </x:c>
      <x:c r="D24" s="67" t="str">
        <x:v>Informational</x:v>
      </x:c>
      <x:c r="E24" s="67" t="str">
        <x:v>Consideration</x:v>
      </x:c>
      <x:c r="F24" s="67" t="str">
        <x:v>Supporting guide</x:v>
      </x:c>
      <x:c r="G24" s="67" t="str">
        <x:v>320</x:v>
      </x:c>
      <x:c r="H24" s="67" t="str">
        <x:v>21</x:v>
      </x:c>
      <x:c r="I24" s="67" t="str">
        <x:v>0.00</x:v>
      </x:c>
      <x:c r="J24" s="67" t="str">
        <x:v>Live Semrush US desktop 2026-08-04</x:v>
      </x:c>
      <x:c r="K24" s="67" t="str">
        <x:v>Meaningful related demand that can support the main hub</x:v>
      </x:c>
      <x:c r="L24" s="67" t="str">
        <x:v>Build in first 90 days</x:v>
      </x:c>
      <x:c r="M24" s="67" t="str"/>
      <x:c r="N24" s="67" t="str"/>
      <x:c r="O24" s="67" t="str"/>
      <x:c r="P24" s="67" t="str"/>
      <x:c r="Q24" s="67" t="str"/>
      <x:c r="R24" s="67" t="str"/>
      <x:c r="S24" s="67" t="str"/>
      <x:c r="T24" s="67" t="str"/>
      <x:c r="U24" s="67" t="str">
        <x:v>Not tracked in the August 17 Moz export; retain the Semrush demand and difficulty decision.</x:v>
      </x:c>
    </x:row>
    <x:row r="25">
      <x:c r="A25" s="67" t="str">
        <x:v>24</x:v>
      </x:c>
      <x:c r="B25" s="67" t="str">
        <x:v>Agency category</x:v>
      </x:c>
      <x:c r="C25" s="67" t="str">
        <x:v>home builder marketing company</x:v>
      </x:c>
      <x:c r="D25" s="67" t="str">
        <x:v>Commercial</x:v>
      </x:c>
      <x:c r="E25" s="67" t="str">
        <x:v>Decision</x:v>
      </x:c>
      <x:c r="F25" s="67" t="str">
        <x:v>Service page</x:v>
      </x:c>
      <x:c r="G25" s="67" t="str">
        <x:v>320</x:v>
      </x:c>
      <x:c r="H25" s="67" t="str">
        <x:v>18</x:v>
      </x:c>
      <x:c r="I25" s="67" t="str">
        <x:v>11.14</x:v>
      </x:c>
      <x:c r="J25" s="67" t="str">
        <x:v>Live Semrush US desktop 2026-08-04</x:v>
      </x:c>
      <x:c r="K25" s="67" t="str">
        <x:v>Strong commercial intent and high CPC within the builder niche</x:v>
      </x:c>
      <x:c r="L25" s="67" t="str">
        <x:v>Build in first 90 days</x:v>
      </x:c>
      <x:c r="M25" s="67" t="str">
        <x:v>2026-08-14</x:v>
      </x:c>
      <x:c r="N25" s="67" t="str">
        <x:v>2</x:v>
      </x:c>
      <x:c r="O25" s="67" t="str">
        <x:v>2</x:v>
      </x:c>
      <x:c r="P25" s="67" t="str">
        <x:v>https://bigorange.marketing/marketing-agency-for-builders/</x:v>
      </x:c>
      <x:c r="Q25" s="67" t="str">
        <x:v>0-10</x:v>
      </x:c>
      <x:c r="R25" s="67" t="str">
        <x:v>2</x:v>
      </x:c>
      <x:c r="S25" s="67" t="str">
        <x:v>0</x:v>
      </x:c>
      <x:c r="T25" s="67" t="str">
        <x:v>https://bigorange.marketing/marketing-agency-for-builders/</x:v>
      </x:c>
      <x:c r="U25" s="67" t="str">
        <x:v>Moz supplies current rank and landing-page evidence; Semrush remains the source for US volume, difficulty, intent, and build priority.</x:v>
      </x:c>
    </x:row>
    <x:row r="26">
      <x:c r="A26" s="67" t="str">
        <x:v>25</x:v>
      </x:c>
      <x:c r="B26" s="67" t="str">
        <x:v>Agency category</x:v>
      </x:c>
      <x:c r="C26" s="67" t="str">
        <x:v>home builder marketing agency</x:v>
      </x:c>
      <x:c r="D26" s="67" t="str">
        <x:v>Commercial</x:v>
      </x:c>
      <x:c r="E26" s="67" t="str">
        <x:v>Decision</x:v>
      </x:c>
      <x:c r="F26" s="67" t="str">
        <x:v>Service page</x:v>
      </x:c>
      <x:c r="G26" s="67" t="str">
        <x:v>720</x:v>
      </x:c>
      <x:c r="H26" s="67" t="str">
        <x:v>31</x:v>
      </x:c>
      <x:c r="I26" s="67" t="str">
        <x:v>14.11</x:v>
      </x:c>
      <x:c r="J26" s="67" t="str">
        <x:v>Live Semrush US desktop 2026-08-04</x:v>
      </x:c>
      <x:c r="K26" s="67" t="str">
        <x:v>Highest builder agency demand and CPC but more competitive than the quick wins</x:v>
      </x:c>
      <x:c r="L26" s="67" t="str">
        <x:v>Build after authority foundation</x:v>
      </x:c>
      <x:c r="M26" s="67" t="str">
        <x:v>2026-08-14</x:v>
      </x:c>
      <x:c r="N26" s="67" t="str">
        <x:v>1</x:v>
      </x:c>
      <x:c r="O26" s="67" t="str">
        <x:v>1</x:v>
      </x:c>
      <x:c r="P26" s="67" t="str">
        <x:v>https://bigorange.marketing/marketing-agency-for-builders/</x:v>
      </x:c>
      <x:c r="Q26" s="67" t="str">
        <x:v>51-100</x:v>
      </x:c>
      <x:c r="R26" s="67" t="str">
        <x:v>2</x:v>
      </x:c>
      <x:c r="S26" s="67" t="str">
        <x:v>0</x:v>
      </x:c>
      <x:c r="T26" s="67" t="str">
        <x:v>https://bigorange.marketing/marketing-agency-for-builders/</x:v>
      </x:c>
      <x:c r="U26" s="67" t="str">
        <x:v>Moz supplies current rank and landing-page evidence; Semrush remains the source for US volume, difficulty, intent, and build priority.</x:v>
      </x:c>
    </x:row>
    <x:row r="27">
      <x:c r="A27" s="67" t="str">
        <x:v>26</x:v>
      </x:c>
      <x:c r="B27" s="67" t="str">
        <x:v>Digital strategy</x:v>
      </x:c>
      <x:c r="C27" s="67" t="str">
        <x:v>digital marketing for custom home builder</x:v>
      </x:c>
      <x:c r="D27" s="67" t="str">
        <x:v>Informational</x:v>
      </x:c>
      <x:c r="E27" s="67" t="str">
        <x:v>Consideration</x:v>
      </x:c>
      <x:c r="F27" s="67" t="str">
        <x:v>Supporting article</x:v>
      </x:c>
      <x:c r="G27" s="67" t="str">
        <x:v>110</x:v>
      </x:c>
      <x:c r="H27" s="67" t="str">
        <x:v>10</x:v>
      </x:c>
      <x:c r="I27" s="67" t="str">
        <x:v>3.60</x:v>
      </x:c>
      <x:c r="J27" s="67" t="str">
        <x:v>Live Semrush US desktop 2026-08-04</x:v>
      </x:c>
      <x:c r="K27" s="67" t="str">
        <x:v>Specific custom builder variation with very easy difficulty</x:v>
      </x:c>
      <x:c r="L27" s="67" t="str">
        <x:v>Build in first 60 days</x:v>
      </x:c>
      <x:c r="M27" s="67" t="str"/>
      <x:c r="N27" s="67" t="str"/>
      <x:c r="O27" s="67" t="str"/>
      <x:c r="P27" s="67" t="str"/>
      <x:c r="Q27" s="67" t="str"/>
      <x:c r="R27" s="67" t="str"/>
      <x:c r="S27" s="67" t="str"/>
      <x:c r="T27" s="67" t="str"/>
      <x:c r="U27" s="67" t="str">
        <x:v>Not tracked in the August 17 Moz export; retain the Semrush demand and difficulty decision.</x:v>
      </x:c>
    </x:row>
    <x:row r="28">
      <x:c r="A28" s="67" t="str">
        <x:v>27</x:v>
      </x:c>
      <x:c r="B28" s="67" t="str">
        <x:v>CRM and nurture</x:v>
      </x:c>
      <x:c r="C28" s="67" t="str">
        <x:v>home builder CRM marketing</x:v>
      </x:c>
      <x:c r="D28" s="67" t="str">
        <x:v>Informational plus Commercial</x:v>
      </x:c>
      <x:c r="E28" s="67" t="str">
        <x:v>Decision</x:v>
      </x:c>
      <x:c r="F28" s="67" t="str">
        <x:v>CRM guide</x:v>
      </x:c>
      <x:c r="G28" s="67" t="str">
        <x:v>110</x:v>
      </x:c>
      <x:c r="H28" s="67" t="str">
        <x:v>6</x:v>
      </x:c>
      <x:c r="I28" s="67" t="str">
        <x:v>10.20</x:v>
      </x:c>
      <x:c r="J28" s="67" t="str">
        <x:v>Live Semrush US desktop 2026-08-04</x:v>
      </x:c>
      <x:c r="K28" s="67" t="str">
        <x:v>Very low difficulty high CPC topic tied to measurable lead handling</x:v>
      </x:c>
      <x:c r="L28" s="67" t="str">
        <x:v>Build in first 90 days</x:v>
      </x:c>
      <x:c r="M28" s="67" t="str"/>
      <x:c r="N28" s="67" t="str"/>
      <x:c r="O28" s="67" t="str"/>
      <x:c r="P28" s="67" t="str"/>
      <x:c r="Q28" s="67" t="str"/>
      <x:c r="R28" s="67" t="str"/>
      <x:c r="S28" s="67" t="str"/>
      <x:c r="T28" s="67" t="str"/>
      <x:c r="U28" s="67" t="str">
        <x:v>Not tracked in the August 17 Moz export; retain the Semrush demand and difficulty decision.</x:v>
      </x:c>
    </x:row>
    <x:row r="29">
      <x:c r="A29" s="67" t="str">
        <x:v>28</x:v>
      </x:c>
      <x:c r="B29" s="67" t="str">
        <x:v>Website conversion</x:v>
      </x:c>
      <x:c r="C29" s="67" t="str">
        <x:v>home builder website examples</x:v>
      </x:c>
      <x:c r="D29" s="67" t="str">
        <x:v>Informational plus Commercial</x:v>
      </x:c>
      <x:c r="E29" s="67" t="str">
        <x:v>Consideration</x:v>
      </x:c>
      <x:c r="F29" s="67" t="str">
        <x:v>Example gallery</x:v>
      </x:c>
      <x:c r="G29" s="67" t="str">
        <x:v>110</x:v>
      </x:c>
      <x:c r="H29" s="67" t="str">
        <x:v>6</x:v>
      </x:c>
      <x:c r="I29" s="67" t="str">
        <x:v>0.00</x:v>
      </x:c>
      <x:c r="J29" s="67" t="str">
        <x:v>Live Semrush US desktop 2026-08-04</x:v>
      </x:c>
      <x:c r="K29" s="67" t="str">
        <x:v>Very low difficulty proof asset with high visual value</x:v>
      </x:c>
      <x:c r="L29" s="67" t="str">
        <x:v>Build in first 60 days</x:v>
      </x:c>
      <x:c r="M29" s="67" t="str"/>
      <x:c r="N29" s="67" t="str"/>
      <x:c r="O29" s="67" t="str"/>
      <x:c r="P29" s="67" t="str"/>
      <x:c r="Q29" s="67" t="str"/>
      <x:c r="R29" s="67" t="str"/>
      <x:c r="S29" s="67" t="str"/>
      <x:c r="T29" s="67" t="str"/>
      <x:c r="U29" s="67" t="str">
        <x:v>Not tracked in the August 17 Moz export; retain the Semrush demand and difficulty decision.</x:v>
      </x:c>
    </x:row>
    <x:row r="30">
      <x:c r="A30" s="67" t="str">
        <x:v>29</x:v>
      </x:c>
      <x:c r="B30" s="67" t="str">
        <x:v>Service positioning</x:v>
      </x:c>
      <x:c r="C30" s="67" t="str">
        <x:v>home builder marketing services</x:v>
      </x:c>
      <x:c r="D30" s="67" t="str">
        <x:v>Informational</x:v>
      </x:c>
      <x:c r="E30" s="67" t="str">
        <x:v>Decision</x:v>
      </x:c>
      <x:c r="F30" s="67" t="str">
        <x:v>Service page support</x:v>
      </x:c>
      <x:c r="G30" s="67" t="str">
        <x:v>70</x:v>
      </x:c>
      <x:c r="H30" s="67" t="str">
        <x:v>13</x:v>
      </x:c>
      <x:c r="I30" s="67" t="str">
        <x:v>0.00</x:v>
      </x:c>
      <x:c r="J30" s="67" t="str">
        <x:v>Live Semrush US desktop 2026-08-04</x:v>
      </x:c>
      <x:c r="K30" s="67" t="str">
        <x:v>Relevant lower volume service variation</x:v>
      </x:c>
      <x:c r="L30" s="67" t="str">
        <x:v>Build in first 90 days</x:v>
      </x:c>
      <x:c r="M30" s="67" t="str"/>
      <x:c r="N30" s="67" t="str"/>
      <x:c r="O30" s="67" t="str"/>
      <x:c r="P30" s="67" t="str"/>
      <x:c r="Q30" s="67" t="str"/>
      <x:c r="R30" s="67" t="str"/>
      <x:c r="S30" s="67" t="str"/>
      <x:c r="T30" s="67" t="str"/>
      <x:c r="U30" s="67" t="str">
        <x:v>Not tracked in the August 17 Moz export; retain the Semrush demand and difficulty decision.</x:v>
      </x:c>
    </x:row>
    <x:row r="31">
      <x:c r="A31" s="67" t="str">
        <x:v>30</x:v>
      </x:c>
      <x:c r="B31" s="67" t="str">
        <x:v>Social</x:v>
      </x:c>
      <x:c r="C31" s="67" t="str">
        <x:v>home builder social media marketing</x:v>
      </x:c>
      <x:c r="D31" s="67" t="str">
        <x:v>Informational</x:v>
      </x:c>
      <x:c r="E31" s="67" t="str">
        <x:v>Awareness</x:v>
      </x:c>
      <x:c r="F31" s="67" t="str">
        <x:v>Supporting article</x:v>
      </x:c>
      <x:c r="G31" s="67" t="str">
        <x:v>70</x:v>
      </x:c>
      <x:c r="H31" s="67" t="str">
        <x:v>6</x:v>
      </x:c>
      <x:c r="I31" s="67" t="str">
        <x:v>0.33</x:v>
      </x:c>
      <x:c r="J31" s="67" t="str">
        <x:v>Live Semrush US desktop 2026-08-04</x:v>
      </x:c>
      <x:c r="K31" s="67" t="str">
        <x:v>Very low difficulty close variation for social topic coverage</x:v>
      </x:c>
      <x:c r="L31" s="67" t="str">
        <x:v>Map to social guide</x:v>
      </x:c>
      <x:c r="M31" s="67" t="str"/>
      <x:c r="N31" s="67" t="str"/>
      <x:c r="O31" s="67" t="str"/>
      <x:c r="P31" s="67" t="str"/>
      <x:c r="Q31" s="67" t="str"/>
      <x:c r="R31" s="67" t="str"/>
      <x:c r="S31" s="67" t="str"/>
      <x:c r="T31" s="67" t="str"/>
      <x:c r="U31" s="67" t="str">
        <x:v>Not tracked in the August 17 Moz export; retain the Semrush demand and difficulty decision.</x:v>
      </x:c>
    </x:row>
    <x:row r="32">
      <x:c r="A32" s="67" t="str">
        <x:v>31</x:v>
      </x:c>
      <x:c r="B32" s="67" t="str">
        <x:v>Website conversion</x:v>
      </x:c>
      <x:c r="C32" s="67" t="str">
        <x:v>home builder website services</x:v>
      </x:c>
      <x:c r="D32" s="67" t="str">
        <x:v>Commercial</x:v>
      </x:c>
      <x:c r="E32" s="67" t="str">
        <x:v>Decision</x:v>
      </x:c>
      <x:c r="F32" s="67" t="str">
        <x:v>Service page</x:v>
      </x:c>
      <x:c r="G32" s="67" t="str">
        <x:v>90</x:v>
      </x:c>
      <x:c r="H32" s="67" t="str">
        <x:v>15</x:v>
      </x:c>
      <x:c r="I32" s="67" t="str">
        <x:v>3.64</x:v>
      </x:c>
      <x:c r="J32" s="67" t="str">
        <x:v>Live Semrush US desktop 2026-08-04</x:v>
      </x:c>
      <x:c r="K32" s="67" t="str">
        <x:v>Commercial website service intent with favorable difficulty</x:v>
      </x:c>
      <x:c r="L32" s="67" t="str">
        <x:v>Build in first 90 days</x:v>
      </x:c>
      <x:c r="M32" s="67" t="str"/>
      <x:c r="N32" s="67" t="str"/>
      <x:c r="O32" s="67" t="str"/>
      <x:c r="P32" s="67" t="str"/>
      <x:c r="Q32" s="67" t="str"/>
      <x:c r="R32" s="67" t="str"/>
      <x:c r="S32" s="67" t="str"/>
      <x:c r="T32" s="67" t="str"/>
      <x:c r="U32" s="67" t="str">
        <x:v>Not tracked in the August 17 Moz export; retain the Semrush demand and difficulty decision.</x:v>
      </x:c>
    </x:row>
    <x:row r="33">
      <x:c r="A33" s="67" t="str">
        <x:v>32</x:v>
      </x:c>
      <x:c r="B33" s="67" t="str">
        <x:v>Agency category</x:v>
      </x:c>
      <x:c r="C33" s="67" t="str">
        <x:v>custom home builder marketing agency</x:v>
      </x:c>
      <x:c r="D33" s="67" t="str">
        <x:v>Informational</x:v>
      </x:c>
      <x:c r="E33" s="67" t="str">
        <x:v>Decision</x:v>
      </x:c>
      <x:c r="F33" s="67" t="str">
        <x:v>Service page</x:v>
      </x:c>
      <x:c r="G33" s="67" t="str">
        <x:v>90</x:v>
      </x:c>
      <x:c r="H33" s="67" t="str">
        <x:v>21</x:v>
      </x:c>
      <x:c r="I33" s="67" t="str">
        <x:v>9.13</x:v>
      </x:c>
      <x:c r="J33" s="67" t="str">
        <x:v>Live Semrush US desktop 2026-08-04</x:v>
      </x:c>
      <x:c r="K33" s="67" t="str">
        <x:v>Exact niche agency variation with strong CPC</x:v>
      </x:c>
      <x:c r="L33" s="67" t="str">
        <x:v>Build after pillar launch</x:v>
      </x:c>
      <x:c r="M33" s="67" t="str">
        <x:v>2026-08-14</x:v>
      </x:c>
      <x:c r="N33" s="67" t="str">
        <x:v>13</x:v>
      </x:c>
      <x:c r="O33" s="67" t="str">
        <x:v>-2</x:v>
      </x:c>
      <x:c r="P33" s="67" t="str">
        <x:v>https://bigorange.marketing/marketing-agency-for-builders/</x:v>
      </x:c>
      <x:c r="Q33" s="67" t="str">
        <x:v>0-10</x:v>
      </x:c>
      <x:c r="R33" s="67" t="str">
        <x:v>13</x:v>
      </x:c>
      <x:c r="S33" s="67" t="str">
        <x:v>-2</x:v>
      </x:c>
      <x:c r="T33" s="67" t="str">
        <x:v>https://bigorange.marketing/marketing-agency-for-builders/</x:v>
      </x:c>
      <x:c r="U33" s="67" t="str">
        <x:v>Moz supplies current rank and landing-page evidence; Semrush remains the source for US volume, difficulty, intent, and build priority.</x:v>
      </x:c>
    </x:row>
    <x:row r="34">
      <x:c r="A34" s="67" t="str">
        <x:v>33</x:v>
      </x:c>
      <x:c r="B34" s="67" t="str">
        <x:v>SEO and visibility</x:v>
      </x:c>
      <x:c r="C34" s="67" t="str">
        <x:v>SEO for custom home builders</x:v>
      </x:c>
      <x:c r="D34" s="67" t="str">
        <x:v>Unclassified</x:v>
      </x:c>
      <x:c r="E34" s="67" t="str">
        <x:v>Consideration</x:v>
      </x:c>
      <x:c r="F34" s="67" t="str">
        <x:v>Subpillar variation</x:v>
      </x:c>
      <x:c r="G34" s="67" t="str">
        <x:v>90</x:v>
      </x:c>
      <x:c r="H34" s="67" t="str">
        <x:v>Not available</x:v>
      </x:c>
      <x:c r="I34" s="67" t="str">
        <x:v>0.00</x:v>
      </x:c>
      <x:c r="J34" s="67" t="str">
        <x:v>Semrush volume current but KD refresh unavailable 2026-08-04</x:v>
      </x:c>
      <x:c r="K34" s="67" t="str">
        <x:v>Highly specific service variation retained as secondary target</x:v>
      </x:c>
      <x:c r="L34" s="67" t="str">
        <x:v>Map to SEO subpillar</x:v>
      </x:c>
      <x:c r="M34" s="67" t="str"/>
      <x:c r="N34" s="67" t="str"/>
      <x:c r="O34" s="67" t="str"/>
      <x:c r="P34" s="67" t="str"/>
      <x:c r="Q34" s="67" t="str"/>
      <x:c r="R34" s="67" t="str"/>
      <x:c r="S34" s="67" t="str"/>
      <x:c r="T34" s="67" t="str"/>
      <x:c r="U34" s="67" t="str">
        <x:v>Not tracked in the August 17 Moz export; retain the Semrush demand and difficulty decision.</x:v>
      </x:c>
    </x:row>
    <x:row r="35">
      <x:c r="A35" s="67" t="str">
        <x:v>34</x:v>
      </x:c>
      <x:c r="B35" s="67" t="str">
        <x:v>Website conversion</x:v>
      </x:c>
      <x:c r="C35" s="67" t="str">
        <x:v>home builder website optimization</x:v>
      </x:c>
      <x:c r="D35" s="67" t="str">
        <x:v>Informational</x:v>
      </x:c>
      <x:c r="E35" s="67" t="str">
        <x:v>Consideration</x:v>
      </x:c>
      <x:c r="F35" s="67" t="str">
        <x:v>Technical conversion article</x:v>
      </x:c>
      <x:c r="G35" s="67" t="str">
        <x:v>40</x:v>
      </x:c>
      <x:c r="H35" s="67" t="str">
        <x:v>0</x:v>
      </x:c>
      <x:c r="I35" s="67" t="str">
        <x:v>0.07</x:v>
      </x:c>
      <x:c r="J35" s="67" t="str">
        <x:v>Live Semrush US desktop 2026-08-04</x:v>
      </x:c>
      <x:c r="K35" s="67" t="str">
        <x:v>Zero reported difficulty and strong fit for technical plus conversion proof</x:v>
      </x:c>
      <x:c r="L35" s="67" t="str">
        <x:v>Build now</x:v>
      </x:c>
      <x:c r="M35" s="67" t="str"/>
      <x:c r="N35" s="67" t="str"/>
      <x:c r="O35" s="67" t="str"/>
      <x:c r="P35" s="67" t="str"/>
      <x:c r="Q35" s="67" t="str"/>
      <x:c r="R35" s="67" t="str"/>
      <x:c r="S35" s="67" t="str"/>
      <x:c r="T35" s="67" t="str"/>
      <x:c r="U35" s="67" t="str">
        <x:v>Not tracked in the August 17 Moz export; retain the Semrush demand and difficulty decision.</x:v>
      </x:c>
    </x:row>
    <x:row r="36">
      <x:c r="A36" s="67" t="str">
        <x:v>35</x:v>
      </x:c>
      <x:c r="B36" s="67" t="str">
        <x:v>Content</x:v>
      </x:c>
      <x:c r="C36" s="67" t="str">
        <x:v>home builder content marketing</x:v>
      </x:c>
      <x:c r="D36" s="67" t="str">
        <x:v>Informational</x:v>
      </x:c>
      <x:c r="E36" s="67" t="str">
        <x:v>Consideration</x:v>
      </x:c>
      <x:c r="F36" s="67" t="str">
        <x:v>Subpillar article</x:v>
      </x:c>
      <x:c r="G36" s="67" t="str">
        <x:v>40</x:v>
      </x:c>
      <x:c r="H36" s="67" t="str">
        <x:v>8</x:v>
      </x:c>
      <x:c r="I36" s="67" t="str">
        <x:v>0.00</x:v>
      </x:c>
      <x:c r="J36" s="67" t="str">
        <x:v>Live Semrush US desktop 2026-08-04</x:v>
      </x:c>
      <x:c r="K36" s="67" t="str">
        <x:v>Very easy builder specific content category</x:v>
      </x:c>
      <x:c r="L36" s="67" t="str">
        <x:v>Build in first 60 days</x:v>
      </x:c>
      <x:c r="M36" s="67" t="str"/>
      <x:c r="N36" s="67" t="str"/>
      <x:c r="O36" s="67" t="str"/>
      <x:c r="P36" s="67" t="str"/>
      <x:c r="Q36" s="67" t="str"/>
      <x:c r="R36" s="67" t="str"/>
      <x:c r="S36" s="67" t="str"/>
      <x:c r="T36" s="67" t="str"/>
      <x:c r="U36" s="67" t="str">
        <x:v>Not tracked in the August 17 Moz export; retain the Semrush demand and difficulty decision.</x:v>
      </x:c>
    </x:row>
    <x:row r="37">
      <x:c r="A37" s="67" t="str">
        <x:v>36</x:v>
      </x:c>
      <x:c r="B37" s="67" t="str">
        <x:v>Paid media</x:v>
      </x:c>
      <x:c r="C37" s="67" t="str">
        <x:v>PPC for home builders</x:v>
      </x:c>
      <x:c r="D37" s="67" t="str">
        <x:v>Informational</x:v>
      </x:c>
      <x:c r="E37" s="67" t="str">
        <x:v>Decision</x:v>
      </x:c>
      <x:c r="F37" s="67" t="str">
        <x:v>Service support page</x:v>
      </x:c>
      <x:c r="G37" s="67" t="str">
        <x:v>40</x:v>
      </x:c>
      <x:c r="H37" s="67" t="str">
        <x:v>1</x:v>
      </x:c>
      <x:c r="I37" s="67" t="str">
        <x:v>0.00</x:v>
      </x:c>
      <x:c r="J37" s="67" t="str">
        <x:v>Live Semrush US desktop 2026-08-04</x:v>
      </x:c>
      <x:c r="K37" s="67" t="str">
        <x:v>Very low difficulty but outside the narrow organic authority wedge</x:v>
      </x:c>
      <x:c r="L37" s="67" t="str">
        <x:v>Backlog</x:v>
      </x:c>
      <x:c r="M37" s="67" t="str"/>
      <x:c r="N37" s="67" t="str"/>
      <x:c r="O37" s="67" t="str"/>
      <x:c r="P37" s="67" t="str"/>
      <x:c r="Q37" s="67" t="str"/>
      <x:c r="R37" s="67" t="str"/>
      <x:c r="S37" s="67" t="str"/>
      <x:c r="T37" s="67" t="str"/>
      <x:c r="U37" s="67" t="str">
        <x:v>Not tracked in the August 17 Moz export; retain the Semrush demand and difficulty decision.</x:v>
      </x:c>
    </x:row>
    <x:row r="38">
      <x:c r="A38" s="67" t="str">
        <x:v>37</x:v>
      </x:c>
      <x:c r="B38" s="67" t="str">
        <x:v>Website conversion</x:v>
      </x:c>
      <x:c r="C38" s="67" t="str">
        <x:v>custom home builder website</x:v>
      </x:c>
      <x:c r="D38" s="67" t="str">
        <x:v>Commercial</x:v>
      </x:c>
      <x:c r="E38" s="67" t="str">
        <x:v>Decision</x:v>
      </x:c>
      <x:c r="F38" s="67" t="str">
        <x:v>Service page support</x:v>
      </x:c>
      <x:c r="G38" s="67" t="str">
        <x:v>40</x:v>
      </x:c>
      <x:c r="H38" s="67" t="str">
        <x:v>34</x:v>
      </x:c>
      <x:c r="I38" s="67" t="str">
        <x:v>3.16</x:v>
      </x:c>
      <x:c r="J38" s="67" t="str">
        <x:v>Live Semrush US desktop 2026-08-04</x:v>
      </x:c>
      <x:c r="K38" s="67" t="str">
        <x:v>Exact niche commercial phrase but meaning may mix builder and buyer intent</x:v>
      </x:c>
      <x:c r="L38" s="67" t="str">
        <x:v>Validate SERP then build</x:v>
      </x:c>
      <x:c r="M38" s="67" t="str"/>
      <x:c r="N38" s="67" t="str"/>
      <x:c r="O38" s="67" t="str"/>
      <x:c r="P38" s="67" t="str"/>
      <x:c r="Q38" s="67" t="str"/>
      <x:c r="R38" s="67" t="str"/>
      <x:c r="S38" s="67" t="str"/>
      <x:c r="T38" s="67" t="str"/>
      <x:c r="U38" s="67" t="str">
        <x:v>Not tracked in the August 17 Moz export; retain the Semrush demand and difficulty decision.</x:v>
      </x:c>
    </x:row>
    <x:row r="39">
      <x:c r="A39" s="67" t="str">
        <x:v>38</x:v>
      </x:c>
      <x:c r="B39" s="67" t="str">
        <x:v>Consulting</x:v>
      </x:c>
      <x:c r="C39" s="67" t="str">
        <x:v>home builder marketing consulting</x:v>
      </x:c>
      <x:c r="D39" s="67" t="str">
        <x:v>Informational</x:v>
      </x:c>
      <x:c r="E39" s="67" t="str">
        <x:v>Decision</x:v>
      </x:c>
      <x:c r="F39" s="67" t="str">
        <x:v>Consulting page</x:v>
      </x:c>
      <x:c r="G39" s="67" t="str">
        <x:v>40</x:v>
      </x:c>
      <x:c r="H39" s="67" t="str">
        <x:v>7</x:v>
      </x:c>
      <x:c r="I39" s="67" t="str">
        <x:v>0.00</x:v>
      </x:c>
      <x:c r="J39" s="67" t="str">
        <x:v>Live Semrush US desktop 2026-08-04</x:v>
      </x:c>
      <x:c r="K39" s="67" t="str">
        <x:v>Very low difficulty consulting intent</x:v>
      </x:c>
      <x:c r="L39" s="67" t="str">
        <x:v>Backlog</x:v>
      </x:c>
      <x:c r="M39" s="67" t="str"/>
      <x:c r="N39" s="67" t="str"/>
      <x:c r="O39" s="67" t="str"/>
      <x:c r="P39" s="67" t="str"/>
      <x:c r="Q39" s="67" t="str"/>
      <x:c r="R39" s="67" t="str"/>
      <x:c r="S39" s="67" t="str"/>
      <x:c r="T39" s="67" t="str"/>
      <x:c r="U39" s="67" t="str">
        <x:v>Not tracked in the August 17 Moz export; retain the Semrush demand and difficulty decision.</x:v>
      </x:c>
    </x:row>
    <x:row r="40">
      <x:c r="A40" s="67" t="str">
        <x:v>39</x:v>
      </x:c>
      <x:c r="B40" s="67" t="str">
        <x:v>Agency category</x:v>
      </x:c>
      <x:c r="C40" s="67" t="str">
        <x:v>home builder marketing firm</x:v>
      </x:c>
      <x:c r="D40" s="67" t="str">
        <x:v>Commercial</x:v>
      </x:c>
      <x:c r="E40" s="67" t="str">
        <x:v>Decision</x:v>
      </x:c>
      <x:c r="F40" s="67" t="str">
        <x:v>Service page variation</x:v>
      </x:c>
      <x:c r="G40" s="67" t="str">
        <x:v>50</x:v>
      </x:c>
      <x:c r="H40" s="67" t="str">
        <x:v>16</x:v>
      </x:c>
      <x:c r="I40" s="67" t="str">
        <x:v>0.00</x:v>
      </x:c>
      <x:c r="J40" s="67" t="str">
        <x:v>Live Semrush US desktop 2026-08-04</x:v>
      </x:c>
      <x:c r="K40" s="67" t="str">
        <x:v>Relevant commercial variation for service page language</x:v>
      </x:c>
      <x:c r="L40" s="67" t="str">
        <x:v>Map to agency page</x:v>
      </x:c>
      <x:c r="M40" s="67" t="str">
        <x:v>2026-08-14</x:v>
      </x:c>
      <x:c r="N40" s="67" t="str">
        <x:v>15</x:v>
      </x:c>
      <x:c r="O40" s="67" t="str">
        <x:v>-2</x:v>
      </x:c>
      <x:c r="P40" s="67" t="str">
        <x:v>https://bigorange.marketing/marketing-agency-for-builders/</x:v>
      </x:c>
      <x:c r="Q40" s="67" t="str">
        <x:v>0-10</x:v>
      </x:c>
      <x:c r="R40" s="67" t="str">
        <x:v>14</x:v>
      </x:c>
      <x:c r="S40" s="67" t="str">
        <x:v>-1</x:v>
      </x:c>
      <x:c r="T40" s="67" t="str">
        <x:v>https://bigorange.marketing/marketing-agency-for-builders/</x:v>
      </x:c>
      <x:c r="U40" s="67" t="str">
        <x:v>Moz supplies current rank and landing-page evidence; Semrush remains the source for US volume, difficulty, intent, and build priority.</x:v>
      </x:c>
    </x:row>
    <x:row r="41">
      <x:c r="A41" s="67" t="str">
        <x:v>40</x:v>
      </x:c>
      <x:c r="B41" s="67" t="str">
        <x:v>Strategy</x:v>
      </x:c>
      <x:c r="C41" s="67" t="str">
        <x:v>home builder marketing tips</x:v>
      </x:c>
      <x:c r="D41" s="67" t="str">
        <x:v>Informational</x:v>
      </x:c>
      <x:c r="E41" s="67" t="str">
        <x:v>Awareness</x:v>
      </x:c>
      <x:c r="F41" s="67" t="str">
        <x:v>Supporting article</x:v>
      </x:c>
      <x:c r="G41" s="67" t="str">
        <x:v>50</x:v>
      </x:c>
      <x:c r="H41" s="67" t="str">
        <x:v>12</x:v>
      </x:c>
      <x:c r="I41" s="67" t="str">
        <x:v>0.00</x:v>
      </x:c>
      <x:c r="J41" s="67" t="str">
        <x:v>Live Semrush US desktop 2026-08-04</x:v>
      </x:c>
      <x:c r="K41" s="67" t="str">
        <x:v>Easy top of funnel topic for FAQ and refresh modules</x:v>
      </x:c>
      <x:c r="L41" s="67" t="str">
        <x:v>Backlog</x:v>
      </x:c>
      <x:c r="M41" s="67" t="str"/>
      <x:c r="N41" s="67" t="str"/>
      <x:c r="O41" s="67" t="str"/>
      <x:c r="P41" s="67" t="str"/>
      <x:c r="Q41" s="67" t="str"/>
      <x:c r="R41" s="67" t="str"/>
      <x:c r="S41" s="67" t="str"/>
      <x:c r="T41" s="67" t="str"/>
      <x:c r="U41" s="67" t="str">
        <x:v>Not tracked in the August 17 Moz export; retain the Semrush demand and difficulty decision.</x:v>
      </x:c>
    </x:row>
    <x:row r="42">
      <x:c r="A42" s="67" t="str">
        <x:v>41</x:v>
      </x:c>
      <x:c r="B42" s="67" t="str">
        <x:v>Strategy</x:v>
      </x:c>
      <x:c r="C42" s="67" t="str">
        <x:v>home builder marketing plans</x:v>
      </x:c>
      <x:c r="D42" s="67" t="str">
        <x:v>Informational</x:v>
      </x:c>
      <x:c r="E42" s="67" t="str">
        <x:v>Awareness</x:v>
      </x:c>
      <x:c r="F42" s="67" t="str">
        <x:v>Guide variation</x:v>
      </x:c>
      <x:c r="G42" s="67" t="str">
        <x:v>50</x:v>
      </x:c>
      <x:c r="H42" s="67" t="str">
        <x:v>8</x:v>
      </x:c>
      <x:c r="I42" s="67" t="str">
        <x:v>0.00</x:v>
      </x:c>
      <x:c r="J42" s="67" t="str">
        <x:v>Live Semrush US desktop 2026-08-04</x:v>
      </x:c>
      <x:c r="K42" s="67" t="str">
        <x:v>Easy plural variation for the marketing plan asset</x:v>
      </x:c>
      <x:c r="L42" s="67" t="str">
        <x:v>Map to plan guide</x:v>
      </x:c>
      <x:c r="M42" s="67" t="str"/>
      <x:c r="N42" s="67" t="str"/>
      <x:c r="O42" s="67" t="str"/>
      <x:c r="P42" s="67" t="str"/>
      <x:c r="Q42" s="67" t="str"/>
      <x:c r="R42" s="67" t="str"/>
      <x:c r="S42" s="67" t="str"/>
      <x:c r="T42" s="67" t="str"/>
      <x:c r="U42" s="67" t="str">
        <x:v>Not tracked in the August 17 Moz export; retain the Semrush demand and difficulty decision.</x:v>
      </x:c>
    </x:row>
    <x:row r="43">
      <x:c r="A43" s="67" t="str">
        <x:v>42</x:v>
      </x:c>
      <x:c r="B43" s="67" t="str">
        <x:v>Systems</x:v>
      </x:c>
      <x:c r="C43" s="67" t="str">
        <x:v>home builder marketing system</x:v>
      </x:c>
      <x:c r="D43" s="67" t="str">
        <x:v>Informational</x:v>
      </x:c>
      <x:c r="E43" s="67" t="str">
        <x:v>Consideration</x:v>
      </x:c>
      <x:c r="F43" s="67" t="str">
        <x:v>Framework guide</x:v>
      </x:c>
      <x:c r="G43" s="67" t="str">
        <x:v>50</x:v>
      </x:c>
      <x:c r="H43" s="67" t="str">
        <x:v>12</x:v>
      </x:c>
      <x:c r="I43" s="67" t="str">
        <x:v>0.00</x:v>
      </x:c>
      <x:c r="J43" s="67" t="str">
        <x:v>Live Semrush US desktop 2026-08-04</x:v>
      </x:c>
      <x:c r="K43" s="67" t="str">
        <x:v>Supports a distinctive BigOrange operating model</x:v>
      </x:c>
      <x:c r="L43" s="67" t="str">
        <x:v>Backlog</x:v>
      </x:c>
      <x:c r="M43" s="67" t="str"/>
      <x:c r="N43" s="67" t="str"/>
      <x:c r="O43" s="67" t="str"/>
      <x:c r="P43" s="67" t="str"/>
      <x:c r="Q43" s="67" t="str"/>
      <x:c r="R43" s="67" t="str"/>
      <x:c r="S43" s="67" t="str"/>
      <x:c r="T43" s="67" t="str"/>
      <x:c r="U43" s="67" t="str">
        <x:v>Not tracked in the August 17 Moz export; retain the Semrush demand and difficulty decision.</x:v>
      </x:c>
    </x:row>
    <x:row r="44">
      <x:c r="A44" s="67" t="str">
        <x:v>43</x:v>
      </x:c>
      <x:c r="B44" s="67" t="str">
        <x:v>Digital strategy</x:v>
      </x:c>
      <x:c r="C44" s="67" t="str">
        <x:v>online home builder marketing</x:v>
      </x:c>
      <x:c r="D44" s="67" t="str">
        <x:v>Informational</x:v>
      </x:c>
      <x:c r="E44" s="67" t="str">
        <x:v>Consideration</x:v>
      </x:c>
      <x:c r="F44" s="67" t="str">
        <x:v>Supporting article</x:v>
      </x:c>
      <x:c r="G44" s="67" t="str">
        <x:v>50</x:v>
      </x:c>
      <x:c r="H44" s="67" t="str">
        <x:v>22</x:v>
      </x:c>
      <x:c r="I44" s="67" t="str">
        <x:v>0.00</x:v>
      </x:c>
      <x:c r="J44" s="67" t="str">
        <x:v>Live Semrush US desktop 2026-08-04</x:v>
      </x:c>
      <x:c r="K44" s="67" t="str">
        <x:v>Relevant older phrasing with moderate difficulty</x:v>
      </x:c>
      <x:c r="L44" s="67" t="str">
        <x:v>Backlog</x:v>
      </x:c>
      <x:c r="M44" s="67" t="str"/>
      <x:c r="N44" s="67" t="str"/>
      <x:c r="O44" s="67" t="str"/>
      <x:c r="P44" s="67" t="str"/>
      <x:c r="Q44" s="67" t="str"/>
      <x:c r="R44" s="67" t="str"/>
      <x:c r="S44" s="67" t="str"/>
      <x:c r="T44" s="67" t="str"/>
      <x:c r="U44" s="67" t="str">
        <x:v>Not tracked in the August 17 Moz export; retain the Semrush demand and difficulty decision.</x:v>
      </x:c>
    </x:row>
    <x:row r="45">
      <x:c r="A45" s="67" t="str">
        <x:v>44</x:v>
      </x:c>
      <x:c r="B45" s="67" t="str">
        <x:v>Website conversion</x:v>
      </x:c>
      <x:c r="C45" s="67" t="str">
        <x:v>home builder website templates</x:v>
      </x:c>
      <x:c r="D45" s="67" t="str">
        <x:v>Commercial</x:v>
      </x:c>
      <x:c r="E45" s="67" t="str">
        <x:v>Consideration</x:v>
      </x:c>
      <x:c r="F45" s="67" t="str">
        <x:v>Template evaluation guide</x:v>
      </x:c>
      <x:c r="G45" s="67" t="str">
        <x:v>70</x:v>
      </x:c>
      <x:c r="H45" s="67" t="str">
        <x:v>16</x:v>
      </x:c>
      <x:c r="I45" s="67" t="str">
        <x:v>5.61</x:v>
      </x:c>
      <x:c r="J45" s="67" t="str">
        <x:v>Live Semrush US desktop 2026-08-04</x:v>
      </x:c>
      <x:c r="K45" s="67" t="str">
        <x:v>Commercial research term with strong CPC and website strategy fit</x:v>
      </x:c>
      <x:c r="L45" s="67" t="str">
        <x:v>Build in first 90 days</x:v>
      </x:c>
      <x:c r="M45" s="67" t="str"/>
      <x:c r="N45" s="67" t="str"/>
      <x:c r="O45" s="67" t="str"/>
      <x:c r="P45" s="67" t="str"/>
      <x:c r="Q45" s="67" t="str"/>
      <x:c r="R45" s="67" t="str"/>
      <x:c r="S45" s="67" t="str"/>
      <x:c r="T45" s="67" t="str"/>
      <x:c r="U45" s="67" t="str">
        <x:v>Not tracked in the August 17 Moz export; retain the Semrush demand and difficulty decision.</x:v>
      </x:c>
    </x:row>
    <x:row r="46">
      <x:c r="A46" s="67" t="str">
        <x:v>45</x:v>
      </x:c>
      <x:c r="B46" s="67" t="str">
        <x:v>Website conversion</x:v>
      </x:c>
      <x:c r="C46" s="67" t="str">
        <x:v>home builder website template</x:v>
      </x:c>
      <x:c r="D46" s="67" t="str">
        <x:v>Commercial</x:v>
      </x:c>
      <x:c r="E46" s="67" t="str">
        <x:v>Consideration</x:v>
      </x:c>
      <x:c r="F46" s="67" t="str">
        <x:v>Template evaluation guide</x:v>
      </x:c>
      <x:c r="G46" s="67" t="str">
        <x:v>50</x:v>
      </x:c>
      <x:c r="H46" s="67" t="str">
        <x:v>5</x:v>
      </x:c>
      <x:c r="I46" s="67" t="str">
        <x:v>5.61</x:v>
      </x:c>
      <x:c r="J46" s="67" t="str">
        <x:v>Live Semrush US desktop 2026-08-04</x:v>
      </x:c>
      <x:c r="K46" s="67" t="str">
        <x:v>Very low difficulty singular variation with commercial value</x:v>
      </x:c>
      <x:c r="L46" s="67" t="str">
        <x:v>Map to template guide</x:v>
      </x:c>
      <x:c r="M46" s="67" t="str"/>
      <x:c r="N46" s="67" t="str"/>
      <x:c r="O46" s="67" t="str"/>
      <x:c r="P46" s="67" t="str"/>
      <x:c r="Q46" s="67" t="str"/>
      <x:c r="R46" s="67" t="str"/>
      <x:c r="S46" s="67" t="str"/>
      <x:c r="T46" s="67" t="str"/>
      <x:c r="U46" s="67" t="str">
        <x:v>Not tracked in the August 17 Moz export; retain the Semrush demand and difficulty decision.</x:v>
      </x:c>
    </x:row>
    <x:row r="47">
      <x:c r="A47" s="67" t="str">
        <x:v>46</x:v>
      </x:c>
      <x:c r="B47" s="67" t="str">
        <x:v>Website conversion</x:v>
      </x:c>
      <x:c r="C47" s="67" t="str">
        <x:v>home building website templates</x:v>
      </x:c>
      <x:c r="D47" s="67" t="str">
        <x:v>Commercial</x:v>
      </x:c>
      <x:c r="E47" s="67" t="str">
        <x:v>Consideration</x:v>
      </x:c>
      <x:c r="F47" s="67" t="str">
        <x:v>Template guide variation</x:v>
      </x:c>
      <x:c r="G47" s="67" t="str">
        <x:v>30</x:v>
      </x:c>
      <x:c r="H47" s="67" t="str">
        <x:v>11</x:v>
      </x:c>
      <x:c r="I47" s="67" t="str">
        <x:v>8.92</x:v>
      </x:c>
      <x:c r="J47" s="67" t="str">
        <x:v>Live Semrush US desktop 2026-08-04</x:v>
      </x:c>
      <x:c r="K47" s="67" t="str">
        <x:v>Easy close variation with high CPC</x:v>
      </x:c>
      <x:c r="L47" s="67" t="str">
        <x:v>Map to template guide</x:v>
      </x:c>
      <x:c r="M47" s="67" t="str"/>
      <x:c r="N47" s="67" t="str"/>
      <x:c r="O47" s="67" t="str"/>
      <x:c r="P47" s="67" t="str"/>
      <x:c r="Q47" s="67" t="str"/>
      <x:c r="R47" s="67" t="str"/>
      <x:c r="S47" s="67" t="str"/>
      <x:c r="T47" s="67" t="str"/>
      <x:c r="U47" s="67" t="str">
        <x:v>Not tracked in the August 17 Moz export; retain the Semrush demand and difficulty decision.</x:v>
      </x:c>
    </x:row>
    <x:row r="48">
      <x:c r="A48" s="67" t="str">
        <x:v>47</x:v>
      </x:c>
      <x:c r="B48" s="67" t="str">
        <x:v>Website conversion</x:v>
      </x:c>
      <x:c r="C48" s="67" t="str">
        <x:v>website builder for home builder</x:v>
      </x:c>
      <x:c r="D48" s="67" t="str">
        <x:v>Informational</x:v>
      </x:c>
      <x:c r="E48" s="67" t="str">
        <x:v>Consideration</x:v>
      </x:c>
      <x:c r="F48" s="67" t="str">
        <x:v>Platform evaluation article</x:v>
      </x:c>
      <x:c r="G48" s="67" t="str">
        <x:v>50</x:v>
      </x:c>
      <x:c r="H48" s="67" t="str">
        <x:v>17</x:v>
      </x:c>
      <x:c r="I48" s="67" t="str">
        <x:v>0.00</x:v>
      </x:c>
      <x:c r="J48" s="67" t="str">
        <x:v>Live Semrush US desktop 2026-08-04</x:v>
      </x:c>
      <x:c r="K48" s="67" t="str">
        <x:v>Platform evaluation phrasing relevant to website buyers</x:v>
      </x:c>
      <x:c r="L48" s="67" t="str">
        <x:v>Backlog</x:v>
      </x:c>
      <x:c r="M48" s="67" t="str"/>
      <x:c r="N48" s="67" t="str"/>
      <x:c r="O48" s="67" t="str"/>
      <x:c r="P48" s="67" t="str"/>
      <x:c r="Q48" s="67" t="str"/>
      <x:c r="R48" s="67" t="str"/>
      <x:c r="S48" s="67" t="str"/>
      <x:c r="T48" s="67" t="str"/>
      <x:c r="U48" s="67" t="str">
        <x:v>Not tracked in the August 17 Moz export; retain the Semrush demand and difficulty decision.</x:v>
      </x:c>
    </x:row>
    <x:row r="49">
      <x:c r="A49" s="67" t="str">
        <x:v>48</x:v>
      </x:c>
      <x:c r="B49" s="67" t="str">
        <x:v>Website conversion</x:v>
      </x:c>
      <x:c r="C49" s="67" t="str">
        <x:v>home builder website developer</x:v>
      </x:c>
      <x:c r="D49" s="67" t="str">
        <x:v>Informational</x:v>
      </x:c>
      <x:c r="E49" s="67" t="str">
        <x:v>Decision</x:v>
      </x:c>
      <x:c r="F49" s="67" t="str">
        <x:v>Service page variation</x:v>
      </x:c>
      <x:c r="G49" s="67" t="str">
        <x:v>140</x:v>
      </x:c>
      <x:c r="H49" s="67" t="str">
        <x:v>22</x:v>
      </x:c>
      <x:c r="I49" s="67" t="str">
        <x:v>0.00</x:v>
      </x:c>
      <x:c r="J49" s="67" t="str">
        <x:v>Live Semrush US desktop 2026-08-04</x:v>
      </x:c>
      <x:c r="K49" s="67" t="str">
        <x:v>Meaningful service demand and direct fit for development capability</x:v>
      </x:c>
      <x:c r="L49" s="67" t="str">
        <x:v>Build in first 90 days</x:v>
      </x:c>
      <x:c r="M49" s="67" t="str"/>
      <x:c r="N49" s="67" t="str"/>
      <x:c r="O49" s="67" t="str"/>
      <x:c r="P49" s="67" t="str"/>
      <x:c r="Q49" s="67" t="str"/>
      <x:c r="R49" s="67" t="str"/>
      <x:c r="S49" s="67" t="str"/>
      <x:c r="T49" s="67" t="str"/>
      <x:c r="U49" s="67" t="str">
        <x:v>Not tracked in the August 17 Moz export; retain the Semrush demand and difficulty decision.</x:v>
      </x:c>
    </x:row>
    <x:row r="50">
      <x:c r="A50" s="67" t="str">
        <x:v>49</x:v>
      </x:c>
      <x:c r="B50" s="67" t="str">
        <x:v>Website strategy</x:v>
      </x:c>
      <x:c r="C50" s="67" t="str">
        <x:v>custom home builder website classification criteria</x:v>
      </x:c>
      <x:c r="D50" s="67" t="str">
        <x:v>Informational</x:v>
      </x:c>
      <x:c r="E50" s="67" t="str">
        <x:v>Awareness</x:v>
      </x:c>
      <x:c r="F50" s="67" t="str">
        <x:v>Evaluation framework</x:v>
      </x:c>
      <x:c r="G50" s="67" t="str">
        <x:v>40</x:v>
      </x:c>
      <x:c r="H50" s="67" t="str">
        <x:v>7</x:v>
      </x:c>
      <x:c r="I50" s="67" t="str">
        <x:v>0.00</x:v>
      </x:c>
      <x:c r="J50" s="67" t="str">
        <x:v>Live Semrush US desktop 2026-08-04</x:v>
      </x:c>
      <x:c r="K50" s="67" t="str">
        <x:v>Unusual but easy criteria query suited to an original scoring framework</x:v>
      </x:c>
      <x:c r="L50" s="67" t="str">
        <x:v>Validate SERP before build</x:v>
      </x:c>
      <x:c r="M50" s="67" t="str"/>
      <x:c r="N50" s="67" t="str"/>
      <x:c r="O50" s="67" t="str"/>
      <x:c r="P50" s="67" t="str"/>
      <x:c r="Q50" s="67" t="str"/>
      <x:c r="R50" s="67" t="str"/>
      <x:c r="S50" s="67" t="str"/>
      <x:c r="T50" s="67" t="str"/>
      <x:c r="U50" s="67" t="str">
        <x:v>Not tracked in the August 17 Moz export; retain the Semrush demand and difficulty decision.</x:v>
      </x:c>
    </x:row>
    <x:row r="51">
      <x:c r="A51" s="67" t="str">
        <x:v>50</x:v>
      </x:c>
      <x:c r="B51" s="67" t="str">
        <x:v>SEO and visibility</x:v>
      </x:c>
      <x:c r="C51" s="67" t="str">
        <x:v>recommended phrases for home builder website SEO</x:v>
      </x:c>
      <x:c r="D51" s="67" t="str">
        <x:v>Informational</x:v>
      </x:c>
      <x:c r="E51" s="67" t="str">
        <x:v>Awareness</x:v>
      </x:c>
      <x:c r="F51" s="67" t="str">
        <x:v>SEO checklist</x:v>
      </x:c>
      <x:c r="G51" s="67" t="str">
        <x:v>40</x:v>
      </x:c>
      <x:c r="H51" s="67" t="str">
        <x:v>0</x:v>
      </x:c>
      <x:c r="I51" s="67" t="str">
        <x:v>0.00</x:v>
      </x:c>
      <x:c r="J51" s="67" t="str">
        <x:v>Live Semrush US desktop 2026-08-04</x:v>
      </x:c>
      <x:c r="K51" s="67" t="str">
        <x:v>Zero reported difficulty and natural downloadable checklist topic</x:v>
      </x:c>
      <x:c r="L51" s="67" t="str">
        <x:v>Build now</x:v>
      </x:c>
      <x:c r="M51" s="67" t="str"/>
      <x:c r="N51" s="67" t="str"/>
      <x:c r="O51" s="67" t="str"/>
      <x:c r="P51" s="67" t="str"/>
      <x:c r="Q51" s="67" t="str"/>
      <x:c r="R51" s="67" t="str"/>
      <x:c r="S51" s="67" t="str"/>
      <x:c r="T51" s="67" t="str"/>
      <x:c r="U51" s="67" t="str">
        <x:v>Not tracked in the August 17 Moz export; retain the Semrush demand and difficulty decision.</x:v>
      </x:c>
    </x:row>
    <x:row r="52">
      <x:c r="A52" s="67" t="str">
        <x:v>51</x:v>
      </x:c>
      <x:c r="B52" s="67" t="str">
        <x:v>Sales alignment</x:v>
      </x:c>
      <x:c r="C52" s="67" t="str">
        <x:v>home builder sales and marketing</x:v>
      </x:c>
      <x:c r="D52" s="67" t="str">
        <x:v>Transactional</x:v>
      </x:c>
      <x:c r="E52" s="67" t="str">
        <x:v>Consideration</x:v>
      </x:c>
      <x:c r="F52" s="67" t="str">
        <x:v>Sales and marketing alignment guide</x:v>
      </x:c>
      <x:c r="G52" s="67" t="str">
        <x:v>70</x:v>
      </x:c>
      <x:c r="H52" s="67" t="str">
        <x:v>15</x:v>
      </x:c>
      <x:c r="I52" s="67" t="str">
        <x:v>0.00</x:v>
      </x:c>
      <x:c r="J52" s="67" t="str">
        <x:v>Live Semrush US desktop 2026-08-04</x:v>
      </x:c>
      <x:c r="K52" s="67" t="str">
        <x:v>Bridges marketing execution to the real sales process</x:v>
      </x:c>
      <x:c r="L52" s="67" t="str">
        <x:v>Build in first 90 days</x:v>
      </x:c>
      <x:c r="M52" s="67" t="str"/>
      <x:c r="N52" s="67" t="str"/>
      <x:c r="O52" s="67" t="str"/>
      <x:c r="P52" s="67" t="str"/>
      <x:c r="Q52" s="67" t="str"/>
      <x:c r="R52" s="67" t="str"/>
      <x:c r="S52" s="67" t="str"/>
      <x:c r="T52" s="67" t="str"/>
      <x:c r="U52" s="67" t="str">
        <x:v>Not tracked in the August 17 Moz export; retain the Semrush demand and difficulty decision.</x:v>
      </x:c>
    </x:row>
    <x:row r="53">
      <x:c r="A53" s="67" t="str">
        <x:v>52</x:v>
      </x:c>
      <x:c r="B53" s="67" t="str">
        <x:v>Strategy</x:v>
      </x:c>
      <x:c r="C53" s="67" t="str">
        <x:v>home builder marketing strategy</x:v>
      </x:c>
      <x:c r="D53" s="67" t="str">
        <x:v>Informational</x:v>
      </x:c>
      <x:c r="E53" s="67" t="str">
        <x:v>Consideration</x:v>
      </x:c>
      <x:c r="F53" s="67" t="str">
        <x:v>Strategy guide</x:v>
      </x:c>
      <x:c r="G53" s="67" t="str">
        <x:v>170</x:v>
      </x:c>
      <x:c r="H53" s="67" t="str">
        <x:v>17</x:v>
      </x:c>
      <x:c r="I53" s="67" t="str">
        <x:v>0.00</x:v>
      </x:c>
      <x:c r="J53" s="67" t="str">
        <x:v>Live Semrush US desktop 2026-08-04</x:v>
      </x:c>
      <x:c r="K53" s="67" t="str">
        <x:v>Relevant singular variation for the strategy cluster</x:v>
      </x:c>
      <x:c r="L53" s="67" t="str">
        <x:v>Map to strategy guide</x:v>
      </x:c>
      <x:c r="M53" s="67" t="str"/>
      <x:c r="N53" s="67" t="str"/>
      <x:c r="O53" s="67" t="str"/>
      <x:c r="P53" s="67" t="str"/>
      <x:c r="Q53" s="67" t="str"/>
      <x:c r="R53" s="67" t="str"/>
      <x:c r="S53" s="67" t="str"/>
      <x:c r="T53" s="67" t="str"/>
      <x:c r="U53" s="67" t="str">
        <x:v>Not tracked in the August 17 Moz export; retain the Semrush demand and difficulty decision.</x:v>
      </x:c>
    </x:row>
    <x:row r="54">
      <x:c r="A54" s="67" t="str">
        <x:v>53</x:v>
      </x:c>
      <x:c r="B54" s="67" t="str">
        <x:v>Strategy</x:v>
      </x:c>
      <x:c r="C54" s="67" t="str">
        <x:v>home builder marketing strategies</x:v>
      </x:c>
      <x:c r="D54" s="67" t="str">
        <x:v>Informational</x:v>
      </x:c>
      <x:c r="E54" s="67" t="str">
        <x:v>Consideration</x:v>
      </x:c>
      <x:c r="F54" s="67" t="str">
        <x:v>Strategy guide</x:v>
      </x:c>
      <x:c r="G54" s="67" t="str">
        <x:v>170</x:v>
      </x:c>
      <x:c r="H54" s="67" t="str">
        <x:v>23</x:v>
      </x:c>
      <x:c r="I54" s="67" t="str">
        <x:v>0.00</x:v>
      </x:c>
      <x:c r="J54" s="67" t="str">
        <x:v>Live Semrush US desktop 2026-08-04</x:v>
      </x:c>
      <x:c r="K54" s="67" t="str">
        <x:v>Relevant plural variation with meaningful demand</x:v>
      </x:c>
      <x:c r="L54" s="67" t="str">
        <x:v>Map to strategy guide</x:v>
      </x:c>
      <x:c r="M54" s="67" t="str"/>
      <x:c r="N54" s="67" t="str"/>
      <x:c r="O54" s="67" t="str"/>
      <x:c r="P54" s="67" t="str"/>
      <x:c r="Q54" s="67" t="str"/>
      <x:c r="R54" s="67" t="str"/>
      <x:c r="S54" s="67" t="str"/>
      <x:c r="T54" s="67" t="str"/>
      <x:c r="U54" s="67" t="str">
        <x:v>Not tracked in the August 17 Moz export; retain the Semrush demand and difficulty decision.</x:v>
      </x:c>
    </x:row>
    <x:row r="55">
      <x:c r="A55" s="67" t="str">
        <x:v>54</x:v>
      </x:c>
      <x:c r="B55" s="67" t="str">
        <x:v>Agency category</x:v>
      </x:c>
      <x:c r="C55" s="67" t="str">
        <x:v>home builder marketing companies</x:v>
      </x:c>
      <x:c r="D55" s="67" t="str">
        <x:v>Informational</x:v>
      </x:c>
      <x:c r="E55" s="67" t="str">
        <x:v>Decision</x:v>
      </x:c>
      <x:c r="F55" s="67" t="str">
        <x:v>Comparison page</x:v>
      </x:c>
      <x:c r="G55" s="67" t="str">
        <x:v>140</x:v>
      </x:c>
      <x:c r="H55" s="67" t="str">
        <x:v>8</x:v>
      </x:c>
      <x:c r="I55" s="67" t="str">
        <x:v>14.11</x:v>
      </x:c>
      <x:c r="J55" s="67" t="str">
        <x:v>Live Semrush US desktop 2026-08-04</x:v>
      </x:c>
      <x:c r="K55" s="67" t="str">
        <x:v>Very easy high CPC agency comparison variation</x:v>
      </x:c>
      <x:c r="L55" s="67" t="str">
        <x:v>Build after proof assets</x:v>
      </x:c>
      <x:c r="M55" s="67" t="str"/>
      <x:c r="N55" s="67" t="str"/>
      <x:c r="O55" s="67" t="str"/>
      <x:c r="P55" s="67" t="str"/>
      <x:c r="Q55" s="67" t="str"/>
      <x:c r="R55" s="67" t="str"/>
      <x:c r="S55" s="67" t="str"/>
      <x:c r="T55" s="67" t="str"/>
      <x:c r="U55" s="67" t="str">
        <x:v>Not tracked in the August 17 Moz export; retain the Semrush demand and difficulty decision.</x:v>
      </x:c>
    </x:row>
    <x:row r="56">
      <x:c r="A56" s="67" t="str">
        <x:v>55</x:v>
      </x:c>
      <x:c r="B56" s="67" t="str">
        <x:v>Agency category</x:v>
      </x:c>
      <x:c r="C56" s="67" t="str">
        <x:v>digital home builder marketing agency</x:v>
      </x:c>
      <x:c r="D56" s="67" t="str">
        <x:v>Informational</x:v>
      </x:c>
      <x:c r="E56" s="67" t="str">
        <x:v>Decision</x:v>
      </x:c>
      <x:c r="F56" s="67" t="str">
        <x:v>Service page variation</x:v>
      </x:c>
      <x:c r="G56" s="67" t="str">
        <x:v>110</x:v>
      </x:c>
      <x:c r="H56" s="67" t="str">
        <x:v>10</x:v>
      </x:c>
      <x:c r="I56" s="67" t="str">
        <x:v>14.11</x:v>
      </x:c>
      <x:c r="J56" s="67" t="str">
        <x:v>Live Semrush US desktop 2026-08-04</x:v>
      </x:c>
      <x:c r="K56" s="67" t="str">
        <x:v>Very easy high CPC phrase for service page coverage</x:v>
      </x:c>
      <x:c r="L56" s="67" t="str">
        <x:v>Map to agency page</x:v>
      </x:c>
      <x:c r="M56" s="67" t="str">
        <x:v>2026-08-14</x:v>
      </x:c>
      <x:c r="N56" s="67" t="str">
        <x:v>1</x:v>
      </x:c>
      <x:c r="O56" s="67" t="str">
        <x:v>0</x:v>
      </x:c>
      <x:c r="P56" s="67" t="str">
        <x:v>https://bigorange.marketing/marketing-agency-for-builders/</x:v>
      </x:c>
      <x:c r="Q56" s="67" t="str">
        <x:v>51-100</x:v>
      </x:c>
      <x:c r="R56" s="67" t="str">
        <x:v>3</x:v>
      </x:c>
      <x:c r="S56" s="67" t="str">
        <x:v>-2</x:v>
      </x:c>
      <x:c r="T56" s="67" t="str">
        <x:v>https://bigorange.marketing/marketing-agency-for-builders/</x:v>
      </x:c>
      <x:c r="U56" s="67" t="str">
        <x:v>Moz supplies current rank and landing-page evidence; Semrush remains the source for US volume, difficulty, intent, and build priority.</x:v>
      </x:c>
    </x:row>
    <x:row r="57">
      <x:c r="A57" s="67" t="str">
        <x:v>56</x:v>
      </x:c>
      <x:c r="B57" s="67" t="str">
        <x:v>Research</x:v>
      </x:c>
      <x:c r="C57" s="67" t="str">
        <x:v>home builder market research</x:v>
      </x:c>
      <x:c r="D57" s="67" t="str">
        <x:v>Informational</x:v>
      </x:c>
      <x:c r="E57" s="67" t="str">
        <x:v>Awareness</x:v>
      </x:c>
      <x:c r="F57" s="67" t="str">
        <x:v>Market research framework</x:v>
      </x:c>
      <x:c r="G57" s="67" t="str">
        <x:v>40</x:v>
      </x:c>
      <x:c r="H57" s="67" t="str">
        <x:v>18</x:v>
      </x:c>
      <x:c r="I57" s="67" t="str">
        <x:v>0.00</x:v>
      </x:c>
      <x:c r="J57" s="67" t="str">
        <x:v>Live Semrush US desktop 2026-08-04</x:v>
      </x:c>
      <x:c r="K57" s="67" t="str">
        <x:v>Potential thought leadership angle but requires careful industry versus marketing intent review</x:v>
      </x:c>
      <x:c r="L57" s="67" t="str">
        <x:v>Validate SERP before build</x:v>
      </x:c>
      <x:c r="M57" s="67" t="str"/>
      <x:c r="N57" s="67" t="str"/>
      <x:c r="O57" s="67" t="str"/>
      <x:c r="P57" s="67" t="str"/>
      <x:c r="Q57" s="67" t="str"/>
      <x:c r="R57" s="67" t="str"/>
      <x:c r="S57" s="67" t="str"/>
      <x:c r="T57" s="67" t="str"/>
      <x:c r="U57" s="67" t="str">
        <x:v>Not tracked in the August 17 Moz export; retain the Semrush demand and difficulty decision.</x:v>
      </x:c>
    </x:row>
    <x:row r="58">
      <x:c r="A58" s="67" t="str">
        <x:v>57</x:v>
      </x:c>
      <x:c r="B58" s="67" t="str">
        <x:v>Content</x:v>
      </x:c>
      <x:c r="C58" s="67" t="str">
        <x:v>content marketing for home builders</x:v>
      </x:c>
      <x:c r="D58" s="67" t="str">
        <x:v>Unclassified</x:v>
      </x:c>
      <x:c r="E58" s="67" t="str">
        <x:v>Consideration</x:v>
      </x:c>
      <x:c r="F58" s="67" t="str">
        <x:v>Subpillar variation</x:v>
      </x:c>
      <x:c r="G58" s="67" t="str">
        <x:v>10</x:v>
      </x:c>
      <x:c r="H58" s="67" t="str">
        <x:v>Not available</x:v>
      </x:c>
      <x:c r="I58" s="67" t="str">
        <x:v>0.00</x:v>
      </x:c>
      <x:c r="J58" s="67" t="str">
        <x:v>Semrush volume current but KD refresh unavailable 2026-08-04</x:v>
      </x:c>
      <x:c r="K58" s="67" t="str">
        <x:v>Exact category variation retained for semantic coverage</x:v>
      </x:c>
      <x:c r="L58" s="67" t="str">
        <x:v>Map to content subpillar</x:v>
      </x:c>
      <x:c r="M58" s="67" t="str"/>
      <x:c r="N58" s="67" t="str"/>
      <x:c r="O58" s="67" t="str"/>
      <x:c r="P58" s="67" t="str"/>
      <x:c r="Q58" s="67" t="str"/>
      <x:c r="R58" s="67" t="str"/>
      <x:c r="S58" s="67" t="str"/>
      <x:c r="T58" s="67" t="str"/>
      <x:c r="U58" s="67" t="str">
        <x:v>Not tracked in the August 17 Moz export; retain the Semrush demand and difficulty decision.</x:v>
      </x:c>
    </x:row>
    <x:row r="59">
      <x:c r="A59" s="67" t="str">
        <x:v>58</x:v>
      </x:c>
      <x:c r="B59" s="67" t="str">
        <x:v>Content</x:v>
      </x:c>
      <x:c r="C59" s="67" t="str">
        <x:v>home builder blog</x:v>
      </x:c>
      <x:c r="D59" s="67" t="str">
        <x:v>Unclassified</x:v>
      </x:c>
      <x:c r="E59" s="67" t="str">
        <x:v>Awareness</x:v>
      </x:c>
      <x:c r="F59" s="67" t="str">
        <x:v>Supporting article</x:v>
      </x:c>
      <x:c r="G59" s="67" t="str">
        <x:v>30</x:v>
      </x:c>
      <x:c r="H59" s="67" t="str">
        <x:v>Not available</x:v>
      </x:c>
      <x:c r="I59" s="67" t="str">
        <x:v>0.00</x:v>
      </x:c>
      <x:c r="J59" s="67" t="str">
        <x:v>Semrush volume current but KD refresh unavailable 2026-08-04</x:v>
      </x:c>
      <x:c r="K59" s="67" t="str">
        <x:v>Existing calendar target with current Semrush volume confirmation</x:v>
      </x:c>
      <x:c r="L59" s="67" t="str">
        <x:v>Build now</x:v>
      </x:c>
      <x:c r="M59" s="67" t="str"/>
      <x:c r="N59" s="67" t="str"/>
      <x:c r="O59" s="67" t="str"/>
      <x:c r="P59" s="67" t="str"/>
      <x:c r="Q59" s="67" t="str"/>
      <x:c r="R59" s="67" t="str"/>
      <x:c r="S59" s="67" t="str"/>
      <x:c r="T59" s="67" t="str"/>
      <x:c r="U59" s="67" t="str">
        <x:v>Not tracked in the August 17 Moz export; retain the Semrush demand and difficulty decision.</x:v>
      </x:c>
    </x:row>
    <x:row r="60">
      <x:c r="A60" s="67" t="str">
        <x:v>59</x:v>
      </x:c>
      <x:c r="B60" s="67" t="str">
        <x:v>Generic agency</x:v>
      </x:c>
      <x:c r="C60" s="67" t="str">
        <x:v>digital marketing agency</x:v>
      </x:c>
      <x:c r="D60" s="67" t="str">
        <x:v>Commercial</x:v>
      </x:c>
      <x:c r="E60" s="67" t="str">
        <x:v>Decision</x:v>
      </x:c>
      <x:c r="F60" s="67" t="str">
        <x:v>None</x:v>
      </x:c>
      <x:c r="G60" s="67" t="str">
        <x:v>74000</x:v>
      </x:c>
      <x:c r="H60" s="67" t="str">
        <x:v>87</x:v>
      </x:c>
      <x:c r="I60" s="67" t="str">
        <x:v>8.45</x:v>
      </x:c>
      <x:c r="J60" s="67" t="str">
        <x:v>Live Semrush US desktop 2026-08-04</x:v>
      </x:c>
      <x:c r="K60" s="67" t="str">
        <x:v>Far too broad and difficult for this focused authority pilot</x:v>
      </x:c>
      <x:c r="L60" s="67" t="str">
        <x:v>Reject for pilot</x:v>
      </x:c>
      <x:c r="M60" s="67" t="str"/>
      <x:c r="N60" s="67" t="str"/>
      <x:c r="O60" s="67" t="str"/>
      <x:c r="P60" s="67" t="str"/>
      <x:c r="Q60" s="67" t="str"/>
      <x:c r="R60" s="67" t="str"/>
      <x:c r="S60" s="67" t="str"/>
      <x:c r="T60" s="67" t="str"/>
      <x:c r="U60" s="67" t="str">
        <x:v>Not tracked in the August 17 Moz export; retain the Semrush demand and difficulty decision.</x:v>
      </x:c>
    </x:row>
    <x:row r="61">
      <x:c r="A61" s="67" t="str">
        <x:v>60</x:v>
      </x:c>
      <x:c r="B61" s="67" t="str">
        <x:v>Generic service</x:v>
      </x:c>
      <x:c r="C61" s="67" t="str">
        <x:v>SEO agency</x:v>
      </x:c>
      <x:c r="D61" s="67" t="str">
        <x:v>Commercial</x:v>
      </x:c>
      <x:c r="E61" s="67" t="str">
        <x:v>Decision</x:v>
      </x:c>
      <x:c r="F61" s="67" t="str">
        <x:v>None</x:v>
      </x:c>
      <x:c r="G61" s="67" t="str">
        <x:v>60500</x:v>
      </x:c>
      <x:c r="H61" s="67" t="str">
        <x:v>50</x:v>
      </x:c>
      <x:c r="I61" s="67" t="str">
        <x:v>19.04</x:v>
      </x:c>
      <x:c r="J61" s="67" t="str">
        <x:v>Live Semrush US desktop 2026-08-04</x:v>
      </x:c>
      <x:c r="K61" s="67" t="str">
        <x:v>Too broad and not builder specific despite high commercial value</x:v>
      </x:c>
      <x:c r="L61" s="67" t="str">
        <x:v>Reject for pilot</x:v>
      </x:c>
      <x:c r="M61" s="67" t="str"/>
      <x:c r="N61" s="67" t="str"/>
      <x:c r="O61" s="67" t="str"/>
      <x:c r="P61" s="67" t="str"/>
      <x:c r="Q61" s="67" t="str"/>
      <x:c r="R61" s="67" t="str"/>
      <x:c r="S61" s="67" t="str"/>
      <x:c r="T61" s="67" t="str"/>
      <x:c r="U61" s="67" t="str">
        <x:v>Not tracked in the August 17 Moz export; retain the Semrush demand and difficulty decision.</x:v>
      </x:c>
    </x:row>
    <x:row r="62">
      <x:c r="A62" s="67" t="str">
        <x:v>61</x:v>
      </x:c>
      <x:c r="B62" s="67" t="str">
        <x:v>Consumer query</x:v>
      </x:c>
      <x:c r="C62" s="67" t="str">
        <x:v>custom home builders near me</x:v>
      </x:c>
      <x:c r="D62" s="67" t="str">
        <x:v>Transactional</x:v>
      </x:c>
      <x:c r="E62" s="67" t="str">
        <x:v>Decision</x:v>
      </x:c>
      <x:c r="F62" s="67" t="str">
        <x:v>None</x:v>
      </x:c>
      <x:c r="G62" s="67" t="str">
        <x:v>9900</x:v>
      </x:c>
      <x:c r="H62" s="67" t="str">
        <x:v>68</x:v>
      </x:c>
      <x:c r="I62" s="67" t="str">
        <x:v>3.76</x:v>
      </x:c>
      <x:c r="J62" s="67" t="str">
        <x:v>Live Semrush US desktop 2026-08-04</x:v>
      </x:c>
      <x:c r="K62" s="67" t="str">
        <x:v>Searcher wants to hire a builder rather than a marketing partner</x:v>
      </x:c>
      <x:c r="L62" s="67" t="str">
        <x:v>Reject</x:v>
      </x:c>
      <x:c r="M62" s="67" t="str"/>
      <x:c r="N62" s="67" t="str"/>
      <x:c r="O62" s="67" t="str"/>
      <x:c r="P62" s="67" t="str"/>
      <x:c r="Q62" s="67" t="str"/>
      <x:c r="R62" s="67" t="str"/>
      <x:c r="S62" s="67" t="str"/>
      <x:c r="T62" s="67" t="str"/>
      <x:c r="U62" s="67" t="str">
        <x:v>Not tracked in the August 17 Moz export; retain the Semrush demand and difficulty decision.</x:v>
      </x:c>
    </x:row>
    <x:row r="63">
      <x:c r="A63" s="68" t="str">
        <x:v>62</x:v>
      </x:c>
      <x:c r="B63" s="68" t="str">
        <x:v>Consumer query</x:v>
      </x:c>
      <x:c r="C63" s="68" t="str">
        <x:v>how much does a custom home cost</x:v>
      </x:c>
      <x:c r="D63" s="68" t="str">
        <x:v>Informational</x:v>
      </x:c>
      <x:c r="E63" s="68" t="str">
        <x:v>Awareness</x:v>
      </x:c>
      <x:c r="F63" s="68" t="str">
        <x:v>None</x:v>
      </x:c>
      <x:c r="G63" s="68" t="str">
        <x:v>70</x:v>
      </x:c>
      <x:c r="H63" s="68" t="str">
        <x:v>1</x:v>
      </x:c>
      <x:c r="I63" s="68" t="str">
        <x:v>1.98</x:v>
      </x:c>
      <x:c r="J63" s="68" t="str">
        <x:v>Live Semrush US desktop 2026-08-04</x:v>
      </x:c>
      <x:c r="K63" s="68" t="str">
        <x:v>Homeowner research intent does not align with BigOrange agency services</x:v>
      </x:c>
      <x:c r="L63" s="68" t="str">
        <x:v>Reject</x:v>
      </x:c>
      <x:c r="M63" s="68" t="str"/>
      <x:c r="N63" s="68" t="str"/>
      <x:c r="O63" s="68" t="str"/>
      <x:c r="P63" s="68" t="str"/>
      <x:c r="Q63" s="68" t="str"/>
      <x:c r="R63" s="68" t="str"/>
      <x:c r="S63" s="68" t="str"/>
      <x:c r="T63" s="68" t="str"/>
      <x:c r="U63" s="68" t="str">
        <x:v>Not tracked in the August 17 Moz export; retain the Semrush demand and difficulty decision.</x:v>
      </x:c>
    </x:row>
  </x:sheetData>
  <x:pageMargins left="0.7" right="0.7" top="0.75" bottom="0.75" header="0.3" footer="0.3"/>
  <x:tableParts count="1">
    <x:tablePart xmlns:r="http://schemas.openxmlformats.org/officeDocument/2006/relationships" r:id="R6b305aa51bb14df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3" hidden="0" customWidth="1"/>
    <x:col min="4" max="4" width="32" hidden="0" customWidth="1"/>
    <x:col min="5" max="5" width="12" hidden="0" customWidth="1"/>
    <x:col min="6" max="6" width="24" hidden="0" customWidth="1"/>
    <x:col min="7" max="7" width="13" hidden="0" customWidth="1"/>
    <x:col min="8" max="8" width="28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4" customHeight="1">
      <x:c r="A1" s="6" t="str">
        <x:v>BigOrange Builder Authority System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32" customHeight="1">
      <x:c r="A2" s="16" t="str">
        <x:v>Decision workbook | 62-keyword ownership, production scope, content sequence, claims, and release gates | Prepared August 28, 2026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3">
      <x:c r="A3" s="92"/>
      <x:c r="B3" s="92"/>
      <x:c r="C3" s="92"/>
      <x:c r="D3" s="92"/>
      <x:c r="E3" s="92"/>
      <x:c r="F3" s="92"/>
      <x:c r="G3" s="92"/>
      <x:c r="H3" s="92"/>
      <x:c r="I3" s="92"/>
      <x:c r="J3" s="92"/>
      <x:c r="K3" s="92"/>
      <x:c r="L3" s="92"/>
    </x:row>
    <x:row r="4" ht="24" customHeight="1">
      <x:c r="A4" s="20" t="str">
        <x:v>EXECUTIVE STATE</x:v>
      </x:c>
      <x:c r="B4" s="20"/>
      <x:c r="C4" s="20"/>
      <x:c r="D4" s="92"/>
      <x:c r="E4" s="92"/>
      <x:c r="F4" s="92"/>
      <x:c r="G4" s="92"/>
      <x:c r="H4" s="92"/>
      <x:c r="I4" s="92"/>
      <x:c r="J4" s="92"/>
      <x:c r="K4" s="92"/>
      <x:c r="L4" s="92"/>
    </x:row>
    <x:row r="5">
      <x:c r="A5" s="38" t="str">
        <x:v>Keywords evaluated</x:v>
      </x:c>
      <x:c r="B5" s="39"/>
      <x:c r="C5" s="92"/>
      <x:c r="D5" s="38" t="str">
        <x:v>Assigned to one owner</x:v>
      </x:c>
      <x:c r="E5" s="39"/>
      <x:c r="F5" s="92"/>
      <x:c r="G5" s="38" t="str">
        <x:v>Explicitly rejected</x:v>
      </x:c>
      <x:c r="H5" s="39"/>
      <x:c r="I5" s="92"/>
      <x:c r="J5" s="38" t="str">
        <x:v>Current-pilot drafts</x:v>
      </x:c>
      <x:c r="K5" s="39"/>
      <x:c r="L5" s="92"/>
    </x:row>
    <x:row r="6">
      <x:c r="A6" s="40" t="n">
        <x:f>COUNTA('Keyword Master'!$B$5:$B$66)</x:f>
        <x:v>62</x:v>
      </x:c>
      <x:c r="B6" s="41"/>
      <x:c r="C6" s="92"/>
      <x:c r="D6" s="40" t="n">
        <x:f>COUNTIF('Keyword Master'!$L$5:$L$66,"Assigned")</x:f>
        <x:v>58</x:v>
      </x:c>
      <x:c r="E6" s="41"/>
      <x:c r="F6" s="92"/>
      <x:c r="G6" s="40" t="n">
        <x:f>COUNTIF('Keyword Master'!$L$5:$L$66,"Rejected")</x:f>
        <x:v>4</x:v>
      </x:c>
      <x:c r="H6" s="41"/>
      <x:c r="I6" s="92"/>
      <x:c r="J6" s="40" t="n">
        <x:f>COUNTIF('Asset Register'!$I$5:$I$23,"Complete interview-integrated draft")</x:f>
        <x:v>3</x:v>
      </x:c>
      <x:c r="K6" s="41"/>
      <x:c r="L6" s="92"/>
    </x:row>
    <x:row r="7">
      <x:c r="A7" s="42" t="str">
        <x:v>Dated Semrush + Moz decision ledger</x:v>
      </x:c>
      <x:c r="B7" s="43"/>
      <x:c r="C7" s="92"/>
      <x:c r="D7" s="42" t="str">
        <x:v>No unowned production query</x:v>
      </x:c>
      <x:c r="E7" s="43"/>
      <x:c r="F7" s="92"/>
      <x:c r="G7" s="42" t="str">
        <x:v>Generic or consumer intent</x:v>
      </x:c>
      <x:c r="H7" s="43"/>
      <x:c r="I7" s="92"/>
      <x:c r="J7" s="42" t="str">
        <x:v>Pillar + two full articles</x:v>
      </x:c>
      <x:c r="K7" s="43"/>
      <x:c r="L7" s="92"/>
    </x:row>
    <x:row r="8">
      <x:c r="A8" s="92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</x:row>
    <x:row r="9" ht="30" customHeight="1">
      <x:c r="A9" s="50" t="str">
        <x:v>Decision summary</x:v>
      </x:c>
      <x:c r="B9" s="50"/>
      <x:c r="C9" s="50"/>
      <x:c r="D9" s="50"/>
      <x:c r="E9" s="92"/>
      <x:c r="F9" s="90" t="str">
        <x:v>Scope bucket</x:v>
      </x:c>
      <x:c r="G9" s="90" t="str">
        <x:v>Asset count</x:v>
      </x:c>
      <x:c r="H9" s="90" t="str">
        <x:v>Meaning</x:v>
      </x:c>
      <x:c r="I9" s="92"/>
      <x:c r="J9" s="92"/>
      <x:c r="K9" s="92"/>
      <x:c r="L9" s="92"/>
    </x:row>
    <x:row r="10">
      <x:c r="A10" s="78" t="str">
        <x:v>Canonical hub</x:v>
      </x:c>
      <x:c r="B10" s="79" t="str">
        <x:v>Keep and evolve</x:v>
      </x:c>
      <x:c r="C10" s="79" t="str">
        <x:v>https://bigorange.marketing/marketing-agency-for-builders/</x:v>
      </x:c>
      <x:c r="D10" s="79" t="str">
        <x:v>Do not create a competing pillar</x:v>
      </x:c>
      <x:c r="E10" s="92"/>
      <x:c r="F10" s="79" t="str">
        <x:v>Current pilot drafts</x:v>
      </x:c>
      <x:c r="G10" s="79" t="n">
        <x:f>COUNTIF('Asset Register'!$G$5:$G$23,"Current pilot")</x:f>
        <x:v>3</x:v>
      </x:c>
      <x:c r="H10" s="79" t="str">
        <x:v>Pillar and two full articles</x:v>
      </x:c>
      <x:c r="I10" s="92"/>
      <x:c r="J10" s="92"/>
      <x:c r="K10" s="92"/>
      <x:c r="L10" s="92"/>
    </x:row>
    <x:row r="11">
      <x:c r="A11" s="78" t="str">
        <x:v>Current production</x:v>
      </x:c>
      <x:c r="B11" s="79" t="str">
        <x:v>3 complete drafts</x:v>
      </x:c>
      <x:c r="C11" s="79" t="str">
        <x:v>HUB-01, ART-01, ART-02</x:v>
      </x:c>
      <x:c r="D11" s="79" t="str">
        <x:v>Janice + leadership approval required</x:v>
      </x:c>
      <x:c r="E11" s="92"/>
      <x:c r="F11" s="79" t="str">
        <x:v>Next phase</x:v>
      </x:c>
      <x:c r="G11" s="79" t="n">
        <x:f>COUNTIF('Asset Register'!$G$5:$G$23,"Next phase")</x:f>
        <x:v>11</x:v>
      </x:c>
      <x:c r="H11" s="79" t="str">
        <x:v>Production requires a separate decision</x:v>
      </x:c>
      <x:c r="I11" s="92"/>
      <x:c r="J11" s="92"/>
      <x:c r="K11" s="92"/>
      <x:c r="L11" s="92"/>
    </x:row>
    <x:row r="12">
      <x:c r="A12" s="78" t="str">
        <x:v>Interview insight</x:v>
      </x:c>
      <x:c r="B12" s="79" t="str">
        <x:v>90 days is short</x:v>
      </x:c>
      <x:c r="C12" s="79" t="str">
        <x:v>Six months is the first realistic momentum window</x:v>
      </x:c>
      <x:c r="D12" s="79" t="str">
        <x:v>No lead or ranking promise</x:v>
      </x:c>
      <x:c r="E12" s="92"/>
      <x:c r="F12" s="79" t="str">
        <x:v>Phase 2 explicit exclusion</x:v>
      </x:c>
      <x:c r="G12" s="79" t="n">
        <x:f>COUNTIF('Asset Register'!$G$5:$G$23,"Phase 2")</x:f>
        <x:v>1</x:v>
      </x:c>
      <x:c r="H12" s="79" t="str">
        <x:v>Mapped, not included production</x:v>
      </x:c>
      <x:c r="I12" s="92"/>
      <x:c r="J12" s="92"/>
      <x:c r="K12" s="92"/>
      <x:c r="L12" s="92"/>
    </x:row>
    <x:row r="13">
      <x:c r="A13" s="78" t="str">
        <x:v>Permission boundary</x:v>
      </x:c>
      <x:c r="B13" s="79" t="str">
        <x:v>1 approved paraphrase</x:v>
      </x:c>
      <x:c r="C13" s="79" t="str">
        <x:v>Homearama example</x:v>
      </x:c>
      <x:c r="D13" s="79" t="str">
        <x:v>All other interview language remains on hold</x:v>
      </x:c>
      <x:c r="E13" s="92"/>
      <x:c r="F13" s="79" t="str">
        <x:v>Backlog</x:v>
      </x:c>
      <x:c r="G13" s="79" t="n">
        <x:f>COUNTIF('Asset Register'!$G$5:$G$23,"Backlog")</x:f>
        <x:v>3</x:v>
      </x:c>
      <x:c r="H13" s="79" t="str">
        <x:v>After foundation and proof</x:v>
      </x:c>
      <x:c r="I13" s="92"/>
      <x:c r="J13" s="92"/>
      <x:c r="K13" s="92"/>
      <x:c r="L13" s="92"/>
    </x:row>
    <x:row r="14">
      <x:c r="A14" s="78" t="str">
        <x:v>Commercial truth</x:v>
      </x:c>
      <x:c r="B14" s="79" t="str">
        <x:v>$1,050 approved pilot</x:v>
      </x:c>
      <x:c r="C14" s="79" t="str">
        <x:v>35 hours at $30/hour</x:v>
      </x:c>
      <x:c r="D14" s="79" t="str">
        <x:v>Invoice/payment and acceptance mechanics open</x:v>
      </x:c>
      <x:c r="E14" s="92"/>
      <x:c r="F14" s="79" t="str">
        <x:v>Intent validation first</x:v>
      </x:c>
      <x:c r="G14" s="79" t="n">
        <x:f>COUNTIF('Asset Register'!$G$5:$G$23,"Validate first")</x:f>
        <x:v>1</x:v>
      </x:c>
      <x:c r="H14" s="79" t="str">
        <x:v>Do not build on ambiguous intent</x:v>
      </x:c>
      <x:c r="I14" s="92"/>
      <x:c r="J14" s="92"/>
      <x:c r="K14" s="92"/>
      <x:c r="L14" s="92"/>
    </x:row>
    <x:row r="15">
      <x:c r="A15" s="92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</x:row>
    <x:row r="16" ht="30" customHeight="1">
      <x:c r="A16" s="90" t="str">
        <x:v>Asset ID</x:v>
      </x:c>
      <x:c r="B16" s="90" t="str">
        <x:v>Asset title</x:v>
      </x:c>
      <x:c r="C16" s="90" t="str">
        <x:v>Keyword count</x:v>
      </x:c>
      <x:c r="D16" s="92"/>
      <x:c r="E16" s="92"/>
      <x:c r="F16" s="92"/>
      <x:c r="G16" s="92"/>
      <x:c r="H16" s="92"/>
      <x:c r="I16" s="92"/>
      <x:c r="J16" s="92"/>
      <x:c r="K16" s="92"/>
      <x:c r="L16" s="92"/>
    </x:row>
    <x:row r="17">
      <x:c r="A17" s="78" t="str">
        <x:v>HUB-01</x:v>
      </x:c>
      <x:c r="B17" s="79" t="str">
        <x:v>Custom Home Builder Marketing That Builds Trust Before the First Call</x:v>
      </x:c>
      <x:c r="C17" s="79" t="n">
        <x:f>COUNTIF('Keyword Master'!$I$5:$I$66,A17)</x:f>
        <x:v>15</x:v>
      </x:c>
      <x:c r="D17" s="92"/>
      <x:c r="E17" s="92"/>
      <x:c r="F17" s="92"/>
      <x:c r="G17" s="92"/>
      <x:c r="H17" s="92"/>
      <x:c r="I17" s="92"/>
      <x:c r="J17" s="92"/>
      <x:c r="K17" s="92"/>
      <x:c r="L17" s="92"/>
    </x:row>
    <x:row r="18">
      <x:c r="A18" s="78" t="str">
        <x:v>ART-01</x:v>
      </x:c>
      <x:c r="B18" s="79" t="str">
        <x:v>Why Your Home Builder Website Is Not Generating Qualified Leads</x:v>
      </x:c>
      <x:c r="C18" s="79" t="n">
        <x:f>COUNTIF('Keyword Master'!$I$5:$I$66,A18)</x:f>
        <x:v>2</x:v>
      </x:c>
      <x:c r="D18" s="92"/>
      <x:c r="E18" s="92"/>
      <x:c r="F18" s="92"/>
      <x:c r="G18" s="92"/>
      <x:c r="H18" s="92"/>
      <x:c r="I18" s="92"/>
      <x:c r="J18" s="92"/>
      <x:c r="K18" s="92"/>
      <x:c r="L18" s="92"/>
    </x:row>
    <x:row r="19">
      <x:c r="A19" s="78" t="str">
        <x:v>ART-02</x:v>
      </x:c>
      <x:c r="B19" s="79" t="str">
        <x:v>5 Articles Every Custom Home Builder Blog Needs</x:v>
      </x:c>
      <x:c r="C19" s="79" t="n">
        <x:f>COUNTIF('Keyword Master'!$I$5:$I$66,A19)</x:f>
        <x:v>2</x:v>
      </x:c>
      <x:c r="D19" s="92"/>
      <x:c r="E19" s="92"/>
      <x:c r="F19" s="92"/>
      <x:c r="G19" s="92"/>
      <x:c r="H19" s="92"/>
      <x:c r="I19" s="92"/>
      <x:c r="J19" s="92"/>
      <x:c r="K19" s="92"/>
      <x:c r="L19" s="92"/>
    </x:row>
    <x:row r="20">
      <x:c r="A20" s="78" t="str">
        <x:v>STR-01</x:v>
      </x:c>
      <x:c r="B20" s="79" t="str">
        <x:v>A Practical Home Builder Marketing Plan</x:v>
      </x:c>
      <x:c r="C20" s="79" t="n">
        <x:f>COUNTIF('Keyword Master'!$I$5:$I$66,A20)</x:f>
        <x:v>6</x:v>
      </x:c>
      <x:c r="D20" s="92"/>
      <x:c r="E20" s="92"/>
      <x:c r="F20" s="92"/>
      <x:c r="G20" s="92"/>
      <x:c r="H20" s="92"/>
      <x:c r="I20" s="92"/>
      <x:c r="J20" s="92"/>
      <x:c r="K20" s="92"/>
      <x:c r="L20" s="92"/>
    </x:row>
    <x:row r="21">
      <x:c r="A21" s="78" t="str">
        <x:v>VIS-01</x:v>
      </x:c>
      <x:c r="B21" s="79" t="str">
        <x:v>SEO, Local Search, and AI Visibility for Home Builders</x:v>
      </x:c>
      <x:c r="C21" s="79" t="n">
        <x:f>COUNTIF('Keyword Master'!$I$5:$I$66,A21)</x:f>
        <x:v>3</x:v>
      </x:c>
      <x:c r="D21" s="92"/>
      <x:c r="E21" s="92"/>
      <x:c r="F21" s="92"/>
      <x:c r="G21" s="92"/>
      <x:c r="H21" s="92"/>
      <x:c r="I21" s="92"/>
      <x:c r="J21" s="92"/>
      <x:c r="K21" s="92"/>
      <x:c r="L21" s="92"/>
    </x:row>
    <x:row r="22">
      <x:c r="A22" s="78" t="str">
        <x:v>WEB-01</x:v>
      </x:c>
      <x:c r="B22" s="79" t="str">
        <x:v>Home Builder Website Design, Proof, and Conversion</x:v>
      </x:c>
      <x:c r="C22" s="79" t="n">
        <x:f>COUNTIF('Keyword Master'!$I$5:$I$66,A22)</x:f>
        <x:v>4</x:v>
      </x:c>
      <x:c r="D22" s="92"/>
      <x:c r="E22" s="92"/>
      <x:c r="F22" s="92"/>
      <x:c r="G22" s="92"/>
      <x:c r="H22" s="92"/>
      <x:c r="I22" s="92"/>
      <x:c r="J22" s="92"/>
      <x:c r="K22" s="92"/>
      <x:c r="L22" s="92"/>
    </x:row>
    <x:row r="23">
      <x:c r="A23" s="78" t="str">
        <x:v>AUD-01</x:v>
      </x:c>
      <x:c r="B23" s="79" t="str">
        <x:v>Custom Home Builder Target Market Segments</x:v>
      </x:c>
      <x:c r="C23" s="79" t="n">
        <x:f>COUNTIF('Keyword Master'!$I$5:$I$66,A23)</x:f>
        <x:v>2</x:v>
      </x:c>
      <x:c r="D23" s="92"/>
      <x:c r="E23" s="92"/>
      <x:c r="F23" s="92"/>
      <x:c r="G23" s="92"/>
      <x:c r="H23" s="92"/>
      <x:c r="I23" s="92"/>
      <x:c r="J23" s="92"/>
      <x:c r="K23" s="92"/>
      <x:c r="L23" s="92"/>
    </x:row>
    <x:row r="24">
      <x:c r="A24" s="78" t="str">
        <x:v>LEAD-01</x:v>
      </x:c>
      <x:c r="B24" s="79" t="str">
        <x:v>Home Builder Lead Generation and Follow-Up</x:v>
      </x:c>
      <x:c r="C24" s="79" t="n">
        <x:f>COUNTIF('Keyword Master'!$I$5:$I$66,A24)</x:f>
        <x:v>2</x:v>
      </x:c>
      <x:c r="D24" s="92"/>
      <x:c r="E24" s="92"/>
      <x:c r="F24" s="92"/>
      <x:c r="G24" s="92"/>
      <x:c r="H24" s="92"/>
      <x:c r="I24" s="92"/>
      <x:c r="J24" s="92"/>
      <x:c r="K24" s="92"/>
      <x:c r="L24" s="92"/>
    </x:row>
    <x:row r="25">
      <x:c r="A25" s="78" t="str">
        <x:v>LOCAL-01</x:v>
      </x:c>
      <x:c r="B25" s="79" t="str">
        <x:v>Local SEO for Home Builders: Markets, Reviews, and Proof</x:v>
      </x:c>
      <x:c r="C25" s="79" t="n">
        <x:f>COUNTIF('Keyword Master'!$I$5:$I$66,A25)</x:f>
        <x:v>1</x:v>
      </x:c>
      <x:c r="D25" s="92"/>
      <x:c r="E25" s="92"/>
      <x:c r="F25" s="92"/>
      <x:c r="G25" s="92"/>
      <x:c r="H25" s="92"/>
      <x:c r="I25" s="92"/>
      <x:c r="J25" s="92"/>
      <x:c r="K25" s="92"/>
      <x:c r="L25" s="92"/>
    </x:row>
    <x:row r="26">
      <x:c r="A26" s="78" t="str">
        <x:v>NUR-01</x:v>
      </x:c>
      <x:c r="B26" s="79" t="str">
        <x:v>Home Builder Email Marketing, CRM, and Lead Nurture</x:v>
      </x:c>
      <x:c r="C26" s="79" t="n">
        <x:f>COUNTIF('Keyword Master'!$I$5:$I$66,A26)</x:f>
        <x:v>2</x:v>
      </x:c>
      <x:c r="D26" s="92"/>
      <x:c r="E26" s="92"/>
      <x:c r="F26" s="92"/>
      <x:c r="G26" s="92"/>
      <x:c r="H26" s="92"/>
      <x:c r="I26" s="92"/>
      <x:c r="J26" s="92"/>
      <x:c r="K26" s="92"/>
      <x:c r="L26" s="92"/>
    </x:row>
    <x:row r="27">
      <x:c r="A27" s="78" t="str">
        <x:v>AUTO-01</x:v>
      </x:c>
      <x:c r="B27" s="79" t="str">
        <x:v>Marketing Automation for Home Builders Without Losing the Human Touch</x:v>
      </x:c>
      <x:c r="C27" s="79" t="n">
        <x:f>COUNTIF('Keyword Master'!$I$5:$I$66,A27)</x:f>
        <x:v>2</x:v>
      </x:c>
      <x:c r="D27" s="92"/>
      <x:c r="E27" s="92"/>
      <x:c r="F27" s="92"/>
      <x:c r="G27" s="92"/>
      <x:c r="H27" s="92"/>
      <x:c r="I27" s="92"/>
      <x:c r="J27" s="92"/>
      <x:c r="K27" s="92"/>
      <x:c r="L27" s="92"/>
    </x:row>
    <x:row r="28">
      <x:c r="A28" s="78" t="str">
        <x:v>SOC-01</x:v>
      </x:c>
      <x:c r="B28" s="79" t="str">
        <x:v>Social Media Marketing for Home Builders</x:v>
      </x:c>
      <x:c r="C28" s="79" t="n">
        <x:f>COUNTIF('Keyword Master'!$I$5:$I$66,A28)</x:f>
        <x:v>2</x:v>
      </x:c>
      <x:c r="D28" s="92"/>
      <x:c r="E28" s="92"/>
      <x:c r="F28" s="92"/>
      <x:c r="G28" s="92"/>
      <x:c r="H28" s="92"/>
      <x:c r="I28" s="92"/>
      <x:c r="J28" s="92"/>
      <x:c r="K28" s="92"/>
      <x:c r="L28" s="92"/>
    </x:row>
    <x:row r="29">
      <x:c r="A29" s="78" t="str">
        <x:v>CNT-01</x:v>
      </x:c>
      <x:c r="B29" s="79" t="str">
        <x:v>Home Builder Content Marketing That Answers Real Buyer Questions</x:v>
      </x:c>
      <x:c r="C29" s="79" t="n">
        <x:f>COUNTIF('Keyword Master'!$I$5:$I$66,A29)</x:f>
        <x:v>2</x:v>
      </x:c>
      <x:c r="D29" s="92"/>
      <x:c r="E29" s="92"/>
      <x:c r="F29" s="92"/>
      <x:c r="G29" s="92"/>
      <x:c r="H29" s="92"/>
      <x:c r="I29" s="92"/>
      <x:c r="J29" s="92"/>
      <x:c r="K29" s="92"/>
      <x:c r="L29" s="92"/>
    </x:row>
    <x:row r="30">
      <x:c r="A30" s="78" t="str">
        <x:v>GAL-01</x:v>
      </x:c>
      <x:c r="B30" s="79" t="str">
        <x:v>Best Home Builder Websites: Examples and Evaluation Criteria</x:v>
      </x:c>
      <x:c r="C30" s="79" t="n">
        <x:f>COUNTIF('Keyword Master'!$I$5:$I$66,A30)</x:f>
        <x:v>5</x:v>
      </x:c>
      <x:c r="D30" s="92"/>
      <x:c r="E30" s="92"/>
      <x:c r="F30" s="92"/>
      <x:c r="G30" s="92"/>
      <x:c r="H30" s="92"/>
      <x:c r="I30" s="92"/>
      <x:c r="J30" s="92"/>
      <x:c r="K30" s="92"/>
      <x:c r="L30" s="92"/>
    </x:row>
    <x:row r="31">
      <x:c r="A31" s="78" t="str">
        <x:v>TPL-01</x:v>
      </x:c>
      <x:c r="B31" s="79" t="str">
        <x:v>Home Builder Website Templates and Platforms: What to Evaluate</x:v>
      </x:c>
      <x:c r="C31" s="79" t="n">
        <x:f>COUNTIF('Keyword Master'!$I$5:$I$66,A31)</x:f>
        <x:v>4</x:v>
      </x:c>
      <x:c r="D31" s="92"/>
      <x:c r="E31" s="92"/>
      <x:c r="F31" s="92"/>
      <x:c r="G31" s="92"/>
      <x:c r="H31" s="92"/>
      <x:c r="I31" s="92"/>
      <x:c r="J31" s="92"/>
      <x:c r="K31" s="92"/>
      <x:c r="L31" s="92"/>
    </x:row>
    <x:row r="32">
      <x:c r="A32" s="78" t="str">
        <x:v>SEOCHK-01</x:v>
      </x:c>
      <x:c r="B32" s="79" t="str">
        <x:v>Recommended Phrases and Page Elements for Home Builder Website SEO</x:v>
      </x:c>
      <x:c r="C32" s="79" t="n">
        <x:f>COUNTIF('Keyword Master'!$I$5:$I$66,A32)</x:f>
        <x:v>1</x:v>
      </x:c>
      <x:c r="D32" s="92"/>
      <x:c r="E32" s="92"/>
      <x:c r="F32" s="92"/>
      <x:c r="G32" s="92"/>
      <x:c r="H32" s="92"/>
      <x:c r="I32" s="92"/>
      <x:c r="J32" s="92"/>
      <x:c r="K32" s="92"/>
      <x:c r="L32" s="92"/>
    </x:row>
    <x:row r="33">
      <x:c r="A33" s="78" t="str">
        <x:v>MKTRES-01</x:v>
      </x:c>
      <x:c r="B33" s="79" t="str">
        <x:v>Home Builder Market Research: A Practical Framework</x:v>
      </x:c>
      <x:c r="C33" s="79" t="n">
        <x:f>COUNTIF('Keyword Master'!$I$5:$I$66,A33)</x:f>
        <x:v>1</x:v>
      </x:c>
      <x:c r="D33" s="92"/>
      <x:c r="E33" s="92"/>
      <x:c r="F33" s="92"/>
      <x:c r="G33" s="92"/>
      <x:c r="H33" s="92"/>
      <x:c r="I33" s="92"/>
      <x:c r="J33" s="92"/>
      <x:c r="K33" s="92"/>
      <x:c r="L33" s="92"/>
    </x:row>
    <x:row r="34">
      <x:c r="A34" s="78" t="str">
        <x:v>PPC-01</x:v>
      </x:c>
      <x:c r="B34" s="79" t="str">
        <x:v>PPC for Home Builders</x:v>
      </x:c>
      <x:c r="C34" s="79" t="n">
        <x:f>COUNTIF('Keyword Master'!$I$5:$I$66,A34)</x:f>
        <x:v>1</x:v>
      </x:c>
      <x:c r="D34" s="92"/>
      <x:c r="E34" s="92"/>
      <x:c r="F34" s="92"/>
      <x:c r="G34" s="92"/>
      <x:c r="H34" s="92"/>
      <x:c r="I34" s="92"/>
      <x:c r="J34" s="92"/>
      <x:c r="K34" s="92"/>
      <x:c r="L34" s="92"/>
    </x:row>
    <x:row r="35">
      <x:c r="A35" s="78" t="str">
        <x:v>CONSULT-01</x:v>
      </x:c>
      <x:c r="B35" s="79" t="str">
        <x:v>Home Builder Marketing Consulting</x:v>
      </x:c>
      <x:c r="C35" s="79" t="n">
        <x:f>COUNTIF('Keyword Master'!$I$5:$I$66,A35)</x:f>
        <x:v>1</x:v>
      </x:c>
      <x:c r="D35" s="92"/>
      <x:c r="E35" s="92"/>
      <x:c r="F35" s="92"/>
      <x:c r="G35" s="92"/>
      <x:c r="H35" s="92"/>
      <x:c r="I35" s="92"/>
      <x:c r="J35" s="92"/>
      <x:c r="K35" s="92"/>
      <x:c r="L35" s="92"/>
    </x:row>
  </x:sheetData>
  <x:mergeCells>
    <x:mergeCell ref="A1:L1"/>
    <x:mergeCell ref="A2:L2"/>
    <x:mergeCell ref="A4:C4"/>
    <x:mergeCell ref="A5:B5"/>
    <x:mergeCell ref="A6:B6"/>
    <x:mergeCell ref="A7:B7"/>
    <x:mergeCell ref="D5:E5"/>
    <x:mergeCell ref="D6:E6"/>
    <x:mergeCell ref="D7:E7"/>
    <x:mergeCell ref="G5:H5"/>
    <x:mergeCell ref="G6:H6"/>
    <x:mergeCell ref="G7:H7"/>
    <x:mergeCell ref="J5:K5"/>
    <x:mergeCell ref="J6:K6"/>
    <x:mergeCell ref="J7:K7"/>
    <x:mergeCell ref="A9:D9"/>
  </x:mergeCells>
  <x:pageMargins left="0.7" right="0.7" top="0.75" bottom="0.75" header="0.3" footer="0.3"/>
  <x:drawing xmlns:r="http://schemas.openxmlformats.org/officeDocument/2006/relationships" r:id="R8dfdde6eef10475f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6" hidden="0" customWidth="1"/>
    <x:col min="3" max="3" width="22" hidden="0" customWidth="1"/>
    <x:col min="4" max="4" width="15" hidden="0" customWidth="1"/>
    <x:col min="5" max="5" width="17" hidden="0" customWidth="1"/>
    <x:col min="6" max="6" width="10" hidden="0" customWidth="1"/>
    <x:col min="7" max="7" width="8" hidden="0" customWidth="1"/>
    <x:col min="8" max="8" width="10" hidden="0" customWidth="1"/>
    <x:col min="9" max="9" width="14" hidden="0" customWidth="1"/>
    <x:col min="10" max="10" width="38" hidden="0" customWidth="1"/>
    <x:col min="11" max="11" width="34" hidden="0" customWidth="1"/>
    <x:col min="12" max="12" width="12" hidden="0" customWidth="1"/>
    <x:col min="13" max="13" width="40" hidden="0" customWidth="1"/>
    <x:col min="14" max="14" width="25" hidden="0" customWidth="1"/>
    <x:col min="15" max="15" width="26" hidden="0" customWidth="1"/>
    <x:col min="16" max="16" width="24" hidden="0" customWidth="1"/>
    <x:col min="17" max="17" width="22" hidden="0" customWidth="1"/>
    <x:col min="18" max="18" width="15" hidden="0" customWidth="1"/>
    <x:col min="19" max="19" width="12" hidden="0" customWidth="1"/>
    <x:col min="20" max="20" width="12" hidden="0" customWidth="1"/>
    <x:col min="21" max="21" width="15" hidden="0" customWidth="1"/>
    <x:col min="22" max="22" width="42" hidden="0" customWidth="1"/>
    <x:col min="23" max="23" width="42" hidden="0" customWidth="1"/>
  </x:cols>
  <x:sheetData>
    <x:row r="1" ht="34" customHeight="1">
      <x:c r="A1" s="6" t="str">
        <x:v>Keyword Master Map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</x:row>
    <x:row r="2" ht="32" customHeight="1">
      <x:c r="A2" s="16" t="str">
        <x:v>Every one of the 62 researched phrases has exactly one owner or an explicit rejection. Semrush evidence is dated August 4, 2026; Moz evidence is dated August 14, 2026.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</x:row>
    <x:row r="4" ht="30" customHeight="1">
      <x:c r="A4" s="90" t="str">
        <x:v>Priority</x:v>
      </x:c>
      <x:c r="B4" s="90" t="str">
        <x:v>Proposed Query</x:v>
      </x:c>
      <x:c r="C4" s="90" t="str">
        <x:v>Topic Cluster</x:v>
      </x:c>
      <x:c r="D4" s="90" t="str">
        <x:v>Semrush Intent</x:v>
      </x:c>
      <x:c r="E4" s="90" t="str">
        <x:v>Funnel Stage</x:v>
      </x:c>
      <x:c r="F4" s="90" t="str">
        <x:v>US Volume</x:v>
      </x:c>
      <x:c r="G4" s="90" t="str">
        <x:v>KD %</x:v>
      </x:c>
      <x:c r="H4" s="90" t="str">
        <x:v>CPC USD</x:v>
      </x:c>
      <x:c r="I4" s="90" t="str">
        <x:v>Asset ID</x:v>
      </x:c>
      <x:c r="J4" s="90" t="str">
        <x:v>Asset Title / Rejection</x:v>
      </x:c>
      <x:c r="K4" s="90" t="str">
        <x:v>Owner URL / Slug</x:v>
      </x:c>
      <x:c r="L4" s="90" t="str">
        <x:v>Disposition</x:v>
      </x:c>
      <x:c r="M4" s="90" t="str">
        <x:v>Scope State</x:v>
      </x:c>
      <x:c r="N4" s="90" t="str">
        <x:v>Build Window</x:v>
      </x:c>
      <x:c r="O4" s="90" t="str">
        <x:v>Original Recommended Asset</x:v>
      </x:c>
      <x:c r="P4" s="90" t="str">
        <x:v>Original Decision</x:v>
      </x:c>
      <x:c r="Q4" s="90" t="str">
        <x:v>Validation Status</x:v>
      </x:c>
      <x:c r="R4" s="90" t="str">
        <x:v>Moz SERP Date</x:v>
      </x:c>
      <x:c r="S4" s="90" t="str">
        <x:v>Moz Desktop Rank</x:v>
      </x:c>
      <x:c r="T4" s="90" t="str">
        <x:v>Moz Mobile Rank</x:v>
      </x:c>
      <x:c r="U4" s="90" t="str">
        <x:v>Moz Volume Range</x:v>
      </x:c>
      <x:c r="V4" s="90" t="str">
        <x:v>Evidence Note</x:v>
      </x:c>
      <x:c r="W4" s="90" t="str">
        <x:v>Why Selected</x:v>
      </x:c>
    </x:row>
    <x:row r="5">
      <x:c r="A5" s="94" t="str">
        <x:v>1</x:v>
      </x:c>
      <x:c r="B5" s="66" t="str">
        <x:v>SEO for home builders</x:v>
      </x:c>
      <x:c r="C5" s="66" t="str">
        <x:v>SEO and visibility</x:v>
      </x:c>
      <x:c r="D5" s="66" t="str">
        <x:v>Informational</x:v>
      </x:c>
      <x:c r="E5" s="66" t="str">
        <x:v>Consideration</x:v>
      </x:c>
      <x:c r="F5" s="106" t="str">
        <x:v>590</x:v>
      </x:c>
      <x:c r="G5" s="112" t="str">
        <x:v>2</x:v>
      </x:c>
      <x:c r="H5" s="118" t="str">
        <x:v>6.43</x:v>
      </x:c>
      <x:c r="I5" s="66" t="str">
        <x:v>VIS-01</x:v>
      </x:c>
      <x:c r="J5" s="66" t="str">
        <x:v>SEO, Local Search, and AI Visibility for Home Builders</x:v>
      </x:c>
      <x:c r="K5" s="66" t="str">
        <x:v>/seo-for-home-builders/</x:v>
      </x:c>
      <x:c r="L5" s="66" t="str">
        <x:v>Assigned</x:v>
      </x:c>
      <x:c r="M5" s="66" t="str">
        <x:v>Brief ready; production not included in current pilot</x:v>
      </x:c>
      <x:c r="N5" s="66" t="str">
        <x:v>Days 31-60 / next phase</x:v>
      </x:c>
      <x:c r="O5" s="66" t="str">
        <x:v>Subpillar</x:v>
      </x:c>
      <x:c r="P5" s="66" t="str">
        <x:v>Build now</x:v>
      </x:c>
      <x:c r="Q5" s="66" t="str">
        <x:v>Live Semrush US desktop 2026-08-04</x:v>
      </x:c>
      <x:c r="R5" s="66" t="str"/>
      <x:c r="S5" s="66" t="str"/>
      <x:c r="T5" s="66" t="str"/>
      <x:c r="U5" s="66" t="str"/>
      <x:c r="V5" s="66" t="str">
        <x:v>Not tracked in the August 17 Moz export; retain the Semrush demand and difficulty decision.</x:v>
      </x:c>
      <x:c r="W5" s="66" t="str">
        <x:v>Highest combination of service relevance meaningful volume and very low difficulty</x:v>
      </x:c>
    </x:row>
    <x:row r="6">
      <x:c r="A6" s="95" t="str">
        <x:v>2</x:v>
      </x:c>
      <x:c r="B6" s="67" t="str">
        <x:v>custom home builder marketing</x:v>
      </x:c>
      <x:c r="C6" s="67" t="str">
        <x:v>Core authority</x:v>
      </x:c>
      <x:c r="D6" s="67" t="str">
        <x:v>Informational</x:v>
      </x:c>
      <x:c r="E6" s="67" t="str">
        <x:v>Consideration</x:v>
      </x:c>
      <x:c r="F6" s="107" t="str">
        <x:v>480</x:v>
      </x:c>
      <x:c r="G6" s="113" t="str">
        <x:v>9</x:v>
      </x:c>
      <x:c r="H6" s="119" t="str">
        <x:v>9.03</x:v>
      </x:c>
      <x:c r="I6" s="67" t="str">
        <x:v>HUB-01</x:v>
      </x:c>
      <x:c r="J6" s="67" t="str">
        <x:v>Custom Home Builder Marketing That Builds Trust Before the First Call</x:v>
      </x:c>
      <x:c r="K6" s="67" t="str">
        <x:v>/marketing-agency-for-builders/</x:v>
      </x:c>
      <x:c r="L6" s="67" t="str">
        <x:v>Assigned</x:v>
      </x:c>
      <x:c r="M6" s="67" t="str">
        <x:v>Complete interview-integrated draft</x:v>
      </x:c>
      <x:c r="N6" s="67" t="str">
        <x:v>Current pilot</x:v>
      </x:c>
      <x:c r="O6" s="67" t="str">
        <x:v>Pillar page</x:v>
      </x:c>
      <x:c r="P6" s="67" t="str">
        <x:v>Build now</x:v>
      </x:c>
      <x:c r="Q6" s="67" t="str">
        <x:v>Live Semrush US desktop 2026-08-04</x:v>
      </x:c>
      <x:c r="R6" s="67" t="str"/>
      <x:c r="S6" s="67" t="str"/>
      <x:c r="T6" s="67" t="str"/>
      <x:c r="U6" s="67" t="str"/>
      <x:c r="V6" s="67" t="str">
        <x:v>Not tracked in the August 17 Moz export; retain the Semrush demand and difficulty decision.</x:v>
      </x:c>
      <x:c r="W6" s="67" t="str">
        <x:v>Exact approved category with very easy difficulty and meaningful commercial value</x:v>
      </x:c>
    </x:row>
    <x:row r="7">
      <x:c r="A7" s="95" t="str">
        <x:v>3</x:v>
      </x:c>
      <x:c r="B7" s="67" t="str">
        <x:v>home builder website not generating leads</x:v>
      </x:c>
      <x:c r="C7" s="67" t="str">
        <x:v>Website conversion</x:v>
      </x:c>
      <x:c r="D7" s="67" t="str">
        <x:v>Informational</x:v>
      </x:c>
      <x:c r="E7" s="67" t="str">
        <x:v>Consideration</x:v>
      </x:c>
      <x:c r="F7" s="107" t="str">
        <x:v>880</x:v>
      </x:c>
      <x:c r="G7" s="113" t="str">
        <x:v>4</x:v>
      </x:c>
      <x:c r="H7" s="119" t="str">
        <x:v>0.00</x:v>
      </x:c>
      <x:c r="I7" s="67" t="str">
        <x:v>ART-01</x:v>
      </x:c>
      <x:c r="J7" s="67" t="str">
        <x:v>Why Your Home Builder Website Is Not Generating Qualified Leads</x:v>
      </x:c>
      <x:c r="K7" s="67" t="str">
        <x:v>/home-builder-website-not-generating-leads/</x:v>
      </x:c>
      <x:c r="L7" s="67" t="str">
        <x:v>Assigned</x:v>
      </x:c>
      <x:c r="M7" s="67" t="str">
        <x:v>Complete interview-integrated draft</x:v>
      </x:c>
      <x:c r="N7" s="67" t="str">
        <x:v>Current pilot</x:v>
      </x:c>
      <x:c r="O7" s="67" t="str">
        <x:v>Supporting article</x:v>
      </x:c>
      <x:c r="P7" s="67" t="str">
        <x:v>Build now</x:v>
      </x:c>
      <x:c r="Q7" s="67" t="str">
        <x:v>Live Semrush US desktop 2026-08-04</x:v>
      </x:c>
      <x:c r="R7" s="67" t="str"/>
      <x:c r="S7" s="67" t="str"/>
      <x:c r="T7" s="67" t="str"/>
      <x:c r="U7" s="67" t="str"/>
      <x:c r="V7" s="67" t="str">
        <x:v>Not tracked in the August 17 Moz export; retain the Semrush demand and difficulty decision.</x:v>
      </x:c>
      <x:c r="W7" s="67" t="str">
        <x:v>High volume pain point with very low difficulty and natural conversion audit CTA</x:v>
      </x:c>
    </x:row>
    <x:row r="8">
      <x:c r="A8" s="95" t="str">
        <x:v>4</x:v>
      </x:c>
      <x:c r="B8" s="67" t="str">
        <x:v>custom home builder target market segments</x:v>
      </x:c>
      <x:c r="C8" s="67" t="str">
        <x:v>Audience strategy</x:v>
      </x:c>
      <x:c r="D8" s="67" t="str">
        <x:v>Informational</x:v>
      </x:c>
      <x:c r="E8" s="67" t="str">
        <x:v>Awareness</x:v>
      </x:c>
      <x:c r="F8" s="107" t="str">
        <x:v>1000</x:v>
      </x:c>
      <x:c r="G8" s="113" t="str">
        <x:v>17</x:v>
      </x:c>
      <x:c r="H8" s="119" t="str">
        <x:v>0.00</x:v>
      </x:c>
      <x:c r="I8" s="67" t="str">
        <x:v>AUD-01</x:v>
      </x:c>
      <x:c r="J8" s="67" t="str">
        <x:v>Custom Home Builder Target Market Segments</x:v>
      </x:c>
      <x:c r="K8" s="67" t="str">
        <x:v>/custom-home-builder-target-market-segments/</x:v>
      </x:c>
      <x:c r="L8" s="67" t="str">
        <x:v>Assigned</x:v>
      </x:c>
      <x:c r="M8" s="67" t="str">
        <x:v>Brief ready; production not included in current pilot</x:v>
      </x:c>
      <x:c r="N8" s="67" t="str">
        <x:v>Days 31-60 / next phase</x:v>
      </x:c>
      <x:c r="O8" s="67" t="str">
        <x:v>Supporting guide</x:v>
      </x:c>
      <x:c r="P8" s="67" t="str">
        <x:v>Build now</x:v>
      </x:c>
      <x:c r="Q8" s="67" t="str">
        <x:v>Live Semrush US desktop 2026-08-04</x:v>
      </x:c>
      <x:c r="R8" s="67" t="str"/>
      <x:c r="S8" s="67" t="str"/>
      <x:c r="T8" s="67" t="str"/>
      <x:c r="U8" s="67" t="str"/>
      <x:c r="V8" s="67" t="str">
        <x:v>Not tracked in the August 17 Moz export; retain the Semrush demand and difficulty decision.</x:v>
      </x:c>
      <x:c r="W8" s="67" t="str">
        <x:v>Highest relevant informational demand and strong strategy differentiation</x:v>
      </x:c>
    </x:row>
    <x:row r="9">
      <x:c r="A9" s="95" t="str">
        <x:v>5</x:v>
      </x:c>
      <x:c r="B9" s="67" t="str">
        <x:v>home builder marketing</x:v>
      </x:c>
      <x:c r="C9" s="67" t="str">
        <x:v>Strategy</x:v>
      </x:c>
      <x:c r="D9" s="67" t="str">
        <x:v>Informational</x:v>
      </x:c>
      <x:c r="E9" s="67" t="str">
        <x:v>Consideration</x:v>
      </x:c>
      <x:c r="F9" s="107" t="str">
        <x:v>1000</x:v>
      </x:c>
      <x:c r="G9" s="113" t="str">
        <x:v>28</x:v>
      </x:c>
      <x:c r="H9" s="119" t="str">
        <x:v>10.20</x:v>
      </x:c>
      <x:c r="I9" s="67" t="str">
        <x:v>HUB-01</x:v>
      </x:c>
      <x:c r="J9" s="67" t="str">
        <x:v>Custom Home Builder Marketing That Builds Trust Before the First Call</x:v>
      </x:c>
      <x:c r="K9" s="67" t="str">
        <x:v>/marketing-agency-for-builders/</x:v>
      </x:c>
      <x:c r="L9" s="67" t="str">
        <x:v>Assigned</x:v>
      </x:c>
      <x:c r="M9" s="67" t="str">
        <x:v>Complete interview-integrated draft</x:v>
      </x:c>
      <x:c r="N9" s="67" t="str">
        <x:v>Current pilot</x:v>
      </x:c>
      <x:c r="O9" s="67" t="str">
        <x:v>Core category hub</x:v>
      </x:c>
      <x:c r="P9" s="67" t="str">
        <x:v>Build as pillar expansion</x:v>
      </x:c>
      <x:c r="Q9" s="67" t="str">
        <x:v>Live Semrush US desktop 2026-08-04</x:v>
      </x:c>
      <x:c r="R9" s="67" t="str"/>
      <x:c r="S9" s="67" t="str"/>
      <x:c r="T9" s="67" t="str"/>
      <x:c r="U9" s="67" t="str"/>
      <x:c r="V9" s="67" t="str">
        <x:v>Not tracked in the August 17 Moz export; retain the Semrush demand and difficulty decision.</x:v>
      </x:c>
      <x:c r="W9" s="67" t="str">
        <x:v>Large category term with strong CPC and direct service relevance</x:v>
      </x:c>
    </x:row>
    <x:row r="10">
      <x:c r="A10" s="95" t="str">
        <x:v>6</x:v>
      </x:c>
      <x:c r="B10" s="67" t="str">
        <x:v>home builder website design</x:v>
      </x:c>
      <x:c r="C10" s="67" t="str">
        <x:v>Website conversion</x:v>
      </x:c>
      <x:c r="D10" s="67" t="str">
        <x:v>Commercial</x:v>
      </x:c>
      <x:c r="E10" s="67" t="str">
        <x:v>Decision</x:v>
      </x:c>
      <x:c r="F10" s="107" t="str">
        <x:v>480</x:v>
      </x:c>
      <x:c r="G10" s="113" t="str">
        <x:v>15</x:v>
      </x:c>
      <x:c r="H10" s="119" t="str">
        <x:v>5.38</x:v>
      </x:c>
      <x:c r="I10" s="67" t="str">
        <x:v>WEB-01</x:v>
      </x:c>
      <x:c r="J10" s="67" t="str">
        <x:v>Home Builder Website Design, Proof, and Conversion</x:v>
      </x:c>
      <x:c r="K10" s="67" t="str">
        <x:v>/home-builder-website-design/</x:v>
      </x:c>
      <x:c r="L10" s="67" t="str">
        <x:v>Assigned</x:v>
      </x:c>
      <x:c r="M10" s="67" t="str">
        <x:v>Brief ready; production not included in current pilot</x:v>
      </x:c>
      <x:c r="N10" s="67" t="str">
        <x:v>Days 31-60 / next phase</x:v>
      </x:c>
      <x:c r="O10" s="67" t="str">
        <x:v>Service page support</x:v>
      </x:c>
      <x:c r="P10" s="67" t="str">
        <x:v>Build now</x:v>
      </x:c>
      <x:c r="Q10" s="67" t="str">
        <x:v>Live Semrush US desktop 2026-08-04</x:v>
      </x:c>
      <x:c r="R10" s="67" t="str"/>
      <x:c r="S10" s="67" t="str"/>
      <x:c r="T10" s="67" t="str"/>
      <x:c r="U10" s="67" t="str"/>
      <x:c r="V10" s="67" t="str">
        <x:v>Not tracked in the August 17 Moz export; retain the Semrush demand and difficulty decision.</x:v>
      </x:c>
      <x:c r="W10" s="67" t="str">
        <x:v>Direct fit with BigOrange website capabilities and favorable difficulty</x:v>
      </x:c>
    </x:row>
    <x:row r="11">
      <x:c r="A11" s="95" t="str">
        <x:v>7</x:v>
      </x:c>
      <x:c r="B11" s="67" t="str">
        <x:v>home building marketing</x:v>
      </x:c>
      <x:c r="C11" s="67" t="str">
        <x:v>Core authority</x:v>
      </x:c>
      <x:c r="D11" s="67" t="str">
        <x:v>Informational</x:v>
      </x:c>
      <x:c r="E11" s="67" t="str">
        <x:v>Consideration</x:v>
      </x:c>
      <x:c r="F11" s="107" t="str">
        <x:v>390</x:v>
      </x:c>
      <x:c r="G11" s="113" t="str">
        <x:v>12</x:v>
      </x:c>
      <x:c r="H11" s="119" t="str">
        <x:v>10.20</x:v>
      </x:c>
      <x:c r="I11" s="67" t="str">
        <x:v>HUB-01</x:v>
      </x:c>
      <x:c r="J11" s="67" t="str">
        <x:v>Custom Home Builder Marketing That Builds Trust Before the First Call</x:v>
      </x:c>
      <x:c r="K11" s="67" t="str">
        <x:v>/marketing-agency-for-builders/</x:v>
      </x:c>
      <x:c r="L11" s="67" t="str">
        <x:v>Assigned</x:v>
      </x:c>
      <x:c r="M11" s="67" t="str">
        <x:v>Complete interview-integrated draft</x:v>
      </x:c>
      <x:c r="N11" s="67" t="str">
        <x:v>Current pilot</x:v>
      </x:c>
      <x:c r="O11" s="67" t="str">
        <x:v>Pillar variation</x:v>
      </x:c>
      <x:c r="P11" s="67" t="str">
        <x:v>Map to pillar</x:v>
      </x:c>
      <x:c r="Q11" s="67" t="str">
        <x:v>Live Semrush US desktop 2026-08-04</x:v>
      </x:c>
      <x:c r="R11" s="67" t="str"/>
      <x:c r="S11" s="67" t="str"/>
      <x:c r="T11" s="67" t="str"/>
      <x:c r="U11" s="67" t="str"/>
      <x:c r="V11" s="67" t="str">
        <x:v>Not tracked in the August 17 Moz export; retain the Semrush demand and difficulty decision.</x:v>
      </x:c>
      <x:c r="W11" s="67" t="str">
        <x:v>Close category variation with very easy difficulty and high CPC</x:v>
      </x:c>
    </x:row>
    <x:row r="12">
      <x:c r="A12" s="95" t="str">
        <x:v>8</x:v>
      </x:c>
      <x:c r="B12" s="67" t="str">
        <x:v>home builder digital marketing</x:v>
      </x:c>
      <x:c r="C12" s="67" t="str">
        <x:v>Digital strategy</x:v>
      </x:c>
      <x:c r="D12" s="67" t="str">
        <x:v>Informational</x:v>
      </x:c>
      <x:c r="E12" s="67" t="str">
        <x:v>Consideration</x:v>
      </x:c>
      <x:c r="F12" s="107" t="str">
        <x:v>320</x:v>
      </x:c>
      <x:c r="G12" s="113" t="str">
        <x:v>23</x:v>
      </x:c>
      <x:c r="H12" s="119" t="str">
        <x:v>0.00</x:v>
      </x:c>
      <x:c r="I12" s="67" t="str">
        <x:v>VIS-01</x:v>
      </x:c>
      <x:c r="J12" s="67" t="str">
        <x:v>SEO, Local Search, and AI Visibility for Home Builders</x:v>
      </x:c>
      <x:c r="K12" s="67" t="str">
        <x:v>/seo-for-home-builders/</x:v>
      </x:c>
      <x:c r="L12" s="67" t="str">
        <x:v>Assigned</x:v>
      </x:c>
      <x:c r="M12" s="67" t="str">
        <x:v>Brief ready; production not included in current pilot</x:v>
      </x:c>
      <x:c r="N12" s="67" t="str">
        <x:v>Days 31-60 / next phase</x:v>
      </x:c>
      <x:c r="O12" s="67" t="str">
        <x:v>Subpillar</x:v>
      </x:c>
      <x:c r="P12" s="67" t="str">
        <x:v>Build in first 60 days</x:v>
      </x:c>
      <x:c r="Q12" s="67" t="str">
        <x:v>Live Semrush US desktop 2026-08-04</x:v>
      </x:c>
      <x:c r="R12" s="67" t="str"/>
      <x:c r="S12" s="67" t="str"/>
      <x:c r="T12" s="67" t="str"/>
      <x:c r="U12" s="67" t="str"/>
      <x:c r="V12" s="67" t="str">
        <x:v>Not tracked in the August 17 Moz export; retain the Semrush demand and difficulty decision.</x:v>
      </x:c>
      <x:c r="W12" s="67" t="str">
        <x:v>Broad builder specific service category with viable difficulty</x:v>
      </x:c>
    </x:row>
    <x:row r="13">
      <x:c r="A13" s="95" t="str">
        <x:v>9</x:v>
      </x:c>
      <x:c r="B13" s="67" t="str">
        <x:v>home builder marketing plan</x:v>
      </x:c>
      <x:c r="C13" s="67" t="str">
        <x:v>Strategy</x:v>
      </x:c>
      <x:c r="D13" s="67" t="str">
        <x:v>Informational</x:v>
      </x:c>
      <x:c r="E13" s="67" t="str">
        <x:v>Awareness</x:v>
      </x:c>
      <x:c r="F13" s="107" t="str">
        <x:v>320</x:v>
      </x:c>
      <x:c r="G13" s="113" t="str">
        <x:v>15</x:v>
      </x:c>
      <x:c r="H13" s="119" t="str">
        <x:v>0.00</x:v>
      </x:c>
      <x:c r="I13" s="67" t="str">
        <x:v>STR-01</x:v>
      </x:c>
      <x:c r="J13" s="67" t="str">
        <x:v>A Practical Home Builder Marketing Plan</x:v>
      </x:c>
      <x:c r="K13" s="67" t="str">
        <x:v>/home-builder-marketing-plan/</x:v>
      </x:c>
      <x:c r="L13" s="67" t="str">
        <x:v>Assigned</x:v>
      </x:c>
      <x:c r="M13" s="67" t="str">
        <x:v>Brief ready; production not included in current pilot</x:v>
      </x:c>
      <x:c r="N13" s="67" t="str">
        <x:v>Days 31-60 / next phase</x:v>
      </x:c>
      <x:c r="O13" s="67" t="str">
        <x:v>Guide and template</x:v>
      </x:c>
      <x:c r="P13" s="67" t="str">
        <x:v>Build in first 60 days</x:v>
      </x:c>
      <x:c r="Q13" s="67" t="str">
        <x:v>Live Semrush US desktop 2026-08-04</x:v>
      </x:c>
      <x:c r="R13" s="67" t="str"/>
      <x:c r="S13" s="67" t="str"/>
      <x:c r="T13" s="67" t="str"/>
      <x:c r="U13" s="67" t="str"/>
      <x:c r="V13" s="67" t="str">
        <x:v>Not tracked in the August 17 Moz export; retain the Semrush demand and difficulty decision.</x:v>
      </x:c>
      <x:c r="W13" s="67" t="str">
        <x:v>Strong planning query with natural consultation and download CTA</x:v>
      </x:c>
    </x:row>
    <x:row r="14">
      <x:c r="A14" s="95" t="str">
        <x:v>10</x:v>
      </x:c>
      <x:c r="B14" s="67" t="str">
        <x:v>home builder marketing ideas</x:v>
      </x:c>
      <x:c r="C14" s="67" t="str">
        <x:v>Strategy</x:v>
      </x:c>
      <x:c r="D14" s="67" t="str">
        <x:v>Informational</x:v>
      </x:c>
      <x:c r="E14" s="67" t="str">
        <x:v>Awareness</x:v>
      </x:c>
      <x:c r="F14" s="107" t="str">
        <x:v>320</x:v>
      </x:c>
      <x:c r="G14" s="113" t="str">
        <x:v>19</x:v>
      </x:c>
      <x:c r="H14" s="119" t="str">
        <x:v>0.00</x:v>
      </x:c>
      <x:c r="I14" s="67" t="str">
        <x:v>ART-02</x:v>
      </x:c>
      <x:c r="J14" s="67" t="str">
        <x:v>5 Articles Every Custom Home Builder Blog Needs</x:v>
      </x:c>
      <x:c r="K14" s="67" t="str">
        <x:v>/custom-home-builder-blog-articles/</x:v>
      </x:c>
      <x:c r="L14" s="67" t="str">
        <x:v>Assigned</x:v>
      </x:c>
      <x:c r="M14" s="67" t="str">
        <x:v>Complete interview-integrated draft</x:v>
      </x:c>
      <x:c r="N14" s="67" t="str">
        <x:v>Current pilot</x:v>
      </x:c>
      <x:c r="O14" s="67" t="str">
        <x:v>Supporting article</x:v>
      </x:c>
      <x:c r="P14" s="67" t="str">
        <x:v>Build in first 60 days</x:v>
      </x:c>
      <x:c r="Q14" s="67" t="str">
        <x:v>Live Semrush US desktop 2026-08-04</x:v>
      </x:c>
      <x:c r="R14" s="67" t="str"/>
      <x:c r="S14" s="67" t="str"/>
      <x:c r="T14" s="67" t="str"/>
      <x:c r="U14" s="67" t="str"/>
      <x:c r="V14" s="67" t="str">
        <x:v>Not tracked in the August 17 Moz export; retain the Semrush demand and difficulty decision.</x:v>
      </x:c>
      <x:c r="W14" s="67" t="str">
        <x:v>Useful discovery term that can feed the authority hub</x:v>
      </x:c>
    </x:row>
    <x:row r="15">
      <x:c r="A15" s="95" t="str">
        <x:v>11</x:v>
      </x:c>
      <x:c r="B15" s="67" t="str">
        <x:v>home builder lead generation</x:v>
      </x:c>
      <x:c r="C15" s="67" t="str">
        <x:v>Lead generation</x:v>
      </x:c>
      <x:c r="D15" s="67" t="str">
        <x:v>Informational plus Commercial</x:v>
      </x:c>
      <x:c r="E15" s="67" t="str">
        <x:v>Consideration</x:v>
      </x:c>
      <x:c r="F15" s="107" t="str">
        <x:v>260</x:v>
      </x:c>
      <x:c r="G15" s="113" t="str">
        <x:v>14</x:v>
      </x:c>
      <x:c r="H15" s="119" t="str">
        <x:v>0.00</x:v>
      </x:c>
      <x:c r="I15" s="67" t="str">
        <x:v>LEAD-01</x:v>
      </x:c>
      <x:c r="J15" s="67" t="str">
        <x:v>Home Builder Lead Generation and Follow-Up</x:v>
      </x:c>
      <x:c r="K15" s="67" t="str">
        <x:v>/home-builder-lead-generation/</x:v>
      </x:c>
      <x:c r="L15" s="67" t="str">
        <x:v>Assigned</x:v>
      </x:c>
      <x:c r="M15" s="67" t="str">
        <x:v>Brief ready; production not included in current pilot</x:v>
      </x:c>
      <x:c r="N15" s="67" t="str">
        <x:v>Days 61-90 / next phase</x:v>
      </x:c>
      <x:c r="O15" s="67" t="str">
        <x:v>Subpillar</x:v>
      </x:c>
      <x:c r="P15" s="67" t="str">
        <x:v>Build in first 60 days</x:v>
      </x:c>
      <x:c r="Q15" s="67" t="str">
        <x:v>Live Semrush US desktop 2026-08-04</x:v>
      </x:c>
      <x:c r="R15" s="67" t="str"/>
      <x:c r="S15" s="67" t="str"/>
      <x:c r="T15" s="67" t="str"/>
      <x:c r="U15" s="67" t="str"/>
      <x:c r="V15" s="67" t="str">
        <x:v>Not tracked in the August 17 Moz export; retain the Semrush demand and difficulty decision.</x:v>
      </x:c>
      <x:c r="W15" s="67" t="str">
        <x:v>Direct business outcome and common builder growth need</x:v>
      </x:c>
    </x:row>
    <x:row r="16">
      <x:c r="A16" s="95" t="str">
        <x:v>12</x:v>
      </x:c>
      <x:c r="B16" s="67" t="str">
        <x:v>custom home builder marketing strategies</x:v>
      </x:c>
      <x:c r="C16" s="67" t="str">
        <x:v>Core authority</x:v>
      </x:c>
      <x:c r="D16" s="67" t="str">
        <x:v>Informational</x:v>
      </x:c>
      <x:c r="E16" s="67" t="str">
        <x:v>Consideration</x:v>
      </x:c>
      <x:c r="F16" s="107" t="str">
        <x:v>260</x:v>
      </x:c>
      <x:c r="G16" s="113" t="str">
        <x:v>10</x:v>
      </x:c>
      <x:c r="H16" s="119" t="str">
        <x:v>0.00</x:v>
      </x:c>
      <x:c r="I16" s="67" t="str">
        <x:v>STR-01</x:v>
      </x:c>
      <x:c r="J16" s="67" t="str">
        <x:v>A Practical Home Builder Marketing Plan</x:v>
      </x:c>
      <x:c r="K16" s="67" t="str">
        <x:v>/home-builder-marketing-plan/</x:v>
      </x:c>
      <x:c r="L16" s="67" t="str">
        <x:v>Assigned</x:v>
      </x:c>
      <x:c r="M16" s="67" t="str">
        <x:v>Brief ready; production not included in current pilot</x:v>
      </x:c>
      <x:c r="N16" s="67" t="str">
        <x:v>Days 31-60 / next phase</x:v>
      </x:c>
      <x:c r="O16" s="67" t="str">
        <x:v>Supporting article</x:v>
      </x:c>
      <x:c r="P16" s="67" t="str">
        <x:v>Build now</x:v>
      </x:c>
      <x:c r="Q16" s="67" t="str">
        <x:v>Live Semrush US desktop 2026-08-04</x:v>
      </x:c>
      <x:c r="R16" s="67" t="str"/>
      <x:c r="S16" s="67" t="str"/>
      <x:c r="T16" s="67" t="str"/>
      <x:c r="U16" s="67" t="str"/>
      <x:c r="V16" s="67" t="str">
        <x:v>Not tracked in the August 17 Moz export; retain the Semrush demand and difficulty decision.</x:v>
      </x:c>
      <x:c r="W16" s="67" t="str">
        <x:v>Very easy strategic variation that strengthens topical authority</x:v>
      </x:c>
    </x:row>
    <x:row r="17">
      <x:c r="A17" s="95" t="str">
        <x:v>13</x:v>
      </x:c>
      <x:c r="B17" s="67" t="str">
        <x:v>local SEO for home builders</x:v>
      </x:c>
      <x:c r="C17" s="67" t="str">
        <x:v>Local visibility</x:v>
      </x:c>
      <x:c r="D17" s="67" t="str">
        <x:v>Informational</x:v>
      </x:c>
      <x:c r="E17" s="67" t="str">
        <x:v>Consideration</x:v>
      </x:c>
      <x:c r="F17" s="107" t="str">
        <x:v>170</x:v>
      </x:c>
      <x:c r="G17" s="113" t="str">
        <x:v>2</x:v>
      </x:c>
      <x:c r="H17" s="119" t="str">
        <x:v>0.00</x:v>
      </x:c>
      <x:c r="I17" s="67" t="str">
        <x:v>LOCAL-01</x:v>
      </x:c>
      <x:c r="J17" s="67" t="str">
        <x:v>Local SEO for Home Builders: Markets, Reviews, and Proof</x:v>
      </x:c>
      <x:c r="K17" s="67" t="str">
        <x:v>/local-seo-for-home-builders/</x:v>
      </x:c>
      <x:c r="L17" s="67" t="str">
        <x:v>Assigned</x:v>
      </x:c>
      <x:c r="M17" s="67" t="str">
        <x:v>Brief ready; production not included in current pilot</x:v>
      </x:c>
      <x:c r="N17" s="67" t="str">
        <x:v>Days 31-60 / next phase</x:v>
      </x:c>
      <x:c r="O17" s="67" t="str">
        <x:v>Supporting article</x:v>
      </x:c>
      <x:c r="P17" s="67" t="str">
        <x:v>Build now</x:v>
      </x:c>
      <x:c r="Q17" s="67" t="str">
        <x:v>Live Semrush US desktop 2026-08-04</x:v>
      </x:c>
      <x:c r="R17" s="67" t="str"/>
      <x:c r="S17" s="67" t="str"/>
      <x:c r="T17" s="67" t="str"/>
      <x:c r="U17" s="67" t="str"/>
      <x:c r="V17" s="67" t="str">
        <x:v>Not tracked in the August 17 Moz export; retain the Semrush demand and difficulty decision.</x:v>
      </x:c>
      <x:c r="W17" s="67" t="str">
        <x:v>Extremely low difficulty and aligned with service area visibility</x:v>
      </x:c>
    </x:row>
    <x:row r="18">
      <x:c r="A18" s="95" t="str">
        <x:v>14</x:v>
      </x:c>
      <x:c r="B18" s="67" t="str">
        <x:v>home builder websites</x:v>
      </x:c>
      <x:c r="C18" s="67" t="str">
        <x:v>Website conversion</x:v>
      </x:c>
      <x:c r="D18" s="67" t="str">
        <x:v>Informational</x:v>
      </x:c>
      <x:c r="E18" s="67" t="str">
        <x:v>Consideration</x:v>
      </x:c>
      <x:c r="F18" s="107" t="str">
        <x:v>320</x:v>
      </x:c>
      <x:c r="G18" s="113" t="str">
        <x:v>22</x:v>
      </x:c>
      <x:c r="H18" s="119" t="str">
        <x:v>2.33</x:v>
      </x:c>
      <x:c r="I18" s="67" t="str">
        <x:v>GAL-01</x:v>
      </x:c>
      <x:c r="J18" s="67" t="str">
        <x:v>Best Home Builder Websites: Examples and Evaluation Criteria</x:v>
      </x:c>
      <x:c r="K18" s="67" t="str">
        <x:v>/best-home-builder-websites/</x:v>
      </x:c>
      <x:c r="L18" s="67" t="str">
        <x:v>Assigned</x:v>
      </x:c>
      <x:c r="M18" s="67" t="str">
        <x:v>Brief ready; production not included in current pilot</x:v>
      </x:c>
      <x:c r="N18" s="67" t="str">
        <x:v>Days 61-90 / next phase</x:v>
      </x:c>
      <x:c r="O18" s="67" t="str">
        <x:v>Gallery and evaluation guide</x:v>
      </x:c>
      <x:c r="P18" s="67" t="str">
        <x:v>Build in first 60 days</x:v>
      </x:c>
      <x:c r="Q18" s="67" t="str">
        <x:v>Live Semrush US desktop 2026-08-04</x:v>
      </x:c>
      <x:c r="R18" s="67" t="str"/>
      <x:c r="S18" s="67" t="str"/>
      <x:c r="T18" s="67" t="str"/>
      <x:c r="U18" s="67" t="str"/>
      <x:c r="V18" s="67" t="str">
        <x:v>Not tracked in the August 17 Moz export; retain the Semrush demand and difficulty decision.</x:v>
      </x:c>
      <x:c r="W18" s="67" t="str">
        <x:v>Large website cluster term with proof and internal linking value</x:v>
      </x:c>
    </x:row>
    <x:row r="19">
      <x:c r="A19" s="95" t="str">
        <x:v>15</x:v>
      </x:c>
      <x:c r="B19" s="67" t="str">
        <x:v>home builder email marketing</x:v>
      </x:c>
      <x:c r="C19" s="67" t="str">
        <x:v>Email</x:v>
      </x:c>
      <x:c r="D19" s="67" t="str">
        <x:v>Informational</x:v>
      </x:c>
      <x:c r="E19" s="67" t="str">
        <x:v>Consideration</x:v>
      </x:c>
      <x:c r="F19" s="107" t="str">
        <x:v>320</x:v>
      </x:c>
      <x:c r="G19" s="113" t="str">
        <x:v>13</x:v>
      </x:c>
      <x:c r="H19" s="119" t="str">
        <x:v>0.00</x:v>
      </x:c>
      <x:c r="I19" s="67" t="str">
        <x:v>NUR-01</x:v>
      </x:c>
      <x:c r="J19" s="67" t="str">
        <x:v>Home Builder Email Marketing, CRM, and Lead Nurture</x:v>
      </x:c>
      <x:c r="K19" s="67" t="str">
        <x:v>/home-builder-email-marketing-crm/</x:v>
      </x:c>
      <x:c r="L19" s="67" t="str">
        <x:v>Assigned</x:v>
      </x:c>
      <x:c r="M19" s="67" t="str">
        <x:v>Brief ready; production not included in current pilot</x:v>
      </x:c>
      <x:c r="N19" s="67" t="str">
        <x:v>Days 61-90 / next phase</x:v>
      </x:c>
      <x:c r="O19" s="67" t="str">
        <x:v>Nurture guide</x:v>
      </x:c>
      <x:c r="P19" s="67" t="str">
        <x:v>Build in first 90 days</x:v>
      </x:c>
      <x:c r="Q19" s="67" t="str">
        <x:v>Live Semrush US desktop 2026-08-04</x:v>
      </x:c>
      <x:c r="R19" s="67" t="str"/>
      <x:c r="S19" s="67" t="str"/>
      <x:c r="T19" s="67" t="str"/>
      <x:c r="U19" s="67" t="str"/>
      <x:c r="V19" s="67" t="str">
        <x:v>Not tracked in the August 17 Moz export; retain the Semrush demand and difficulty decision.</x:v>
      </x:c>
      <x:c r="W19" s="67" t="str">
        <x:v>Low difficulty channel topic suited to long builder sales cycles</x:v>
      </x:c>
    </x:row>
    <x:row r="20">
      <x:c r="A20" s="95" t="str">
        <x:v>16</x:v>
      </x:c>
      <x:c r="B20" s="67" t="str">
        <x:v>home builder marketing automation</x:v>
      </x:c>
      <x:c r="C20" s="67" t="str">
        <x:v>Automation</x:v>
      </x:c>
      <x:c r="D20" s="67" t="str">
        <x:v>Informational</x:v>
      </x:c>
      <x:c r="E20" s="67" t="str">
        <x:v>Decision</x:v>
      </x:c>
      <x:c r="F20" s="107" t="str">
        <x:v>170</x:v>
      </x:c>
      <x:c r="G20" s="113" t="str">
        <x:v>5</x:v>
      </x:c>
      <x:c r="H20" s="119" t="str">
        <x:v>0.00</x:v>
      </x:c>
      <x:c r="I20" s="67" t="str">
        <x:v>AUTO-01</x:v>
      </x:c>
      <x:c r="J20" s="67" t="str">
        <x:v>Marketing Automation for Home Builders Without Losing the Human Touch</x:v>
      </x:c>
      <x:c r="K20" s="67" t="str">
        <x:v>/home-builder-marketing-automation/</x:v>
      </x:c>
      <x:c r="L20" s="67" t="str">
        <x:v>Assigned</x:v>
      </x:c>
      <x:c r="M20" s="67" t="str">
        <x:v>Brief ready; production not included in current pilot</x:v>
      </x:c>
      <x:c r="N20" s="67" t="str">
        <x:v>Days 61-90 / next phase</x:v>
      </x:c>
      <x:c r="O20" s="67" t="str">
        <x:v>Automation guide</x:v>
      </x:c>
      <x:c r="P20" s="67" t="str">
        <x:v>Build in first 90 days</x:v>
      </x:c>
      <x:c r="Q20" s="67" t="str">
        <x:v>Live Semrush US desktop 2026-08-04</x:v>
      </x:c>
      <x:c r="R20" s="67" t="str">
        <x:v>2026-08-14</x:v>
      </x:c>
      <x:c r="S20" s="67" t="str"/>
      <x:c r="T20" s="67" t="str"/>
      <x:c r="U20" s="67" t="str">
        <x:v>0-10</x:v>
      </x:c>
      <x:c r="V20" s="67" t="str">
        <x:v>Tracked by Moz but not ranking on the latest date; Semrush remains the demand and opportunity source.</x:v>
      </x:c>
      <x:c r="W20" s="67" t="str">
        <x:v>Very low difficulty and strong operational differentiation</x:v>
      </x:c>
    </x:row>
    <x:row r="21">
      <x:c r="A21" s="95" t="str">
        <x:v>17</x:v>
      </x:c>
      <x:c r="B21" s="67" t="str">
        <x:v>social media marketing for home builders</x:v>
      </x:c>
      <x:c r="C21" s="67" t="str">
        <x:v>Social</x:v>
      </x:c>
      <x:c r="D21" s="67" t="str">
        <x:v>Informational</x:v>
      </x:c>
      <x:c r="E21" s="67" t="str">
        <x:v>Awareness</x:v>
      </x:c>
      <x:c r="F21" s="107" t="str">
        <x:v>170</x:v>
      </x:c>
      <x:c r="G21" s="113" t="str">
        <x:v>8</x:v>
      </x:c>
      <x:c r="H21" s="119" t="str">
        <x:v>0.00</x:v>
      </x:c>
      <x:c r="I21" s="67" t="str">
        <x:v>SOC-01</x:v>
      </x:c>
      <x:c r="J21" s="67" t="str">
        <x:v>Social Media Marketing for Home Builders</x:v>
      </x:c>
      <x:c r="K21" s="67" t="str">
        <x:v>/social-media-marketing-for-home-builders/</x:v>
      </x:c>
      <x:c r="L21" s="67" t="str">
        <x:v>Assigned</x:v>
      </x:c>
      <x:c r="M21" s="67" t="str">
        <x:v>Brief ready; production explicitly excluded from current pilot</x:v>
      </x:c>
      <x:c r="N21" s="67" t="str">
        <x:v>Phase 2</x:v>
      </x:c>
      <x:c r="O21" s="67" t="str">
        <x:v>Supporting guide</x:v>
      </x:c>
      <x:c r="P21" s="67" t="str">
        <x:v>Build in first 90 days</x:v>
      </x:c>
      <x:c r="Q21" s="67" t="str">
        <x:v>Live Semrush US desktop 2026-08-04</x:v>
      </x:c>
      <x:c r="R21" s="67" t="str"/>
      <x:c r="S21" s="67" t="str"/>
      <x:c r="T21" s="67" t="str"/>
      <x:c r="U21" s="67" t="str"/>
      <x:c r="V21" s="67" t="str">
        <x:v>Not tracked in the August 17 Moz export; retain the Semrush demand and difficulty decision.</x:v>
      </x:c>
      <x:c r="W21" s="67" t="str">
        <x:v>Very easy relevant channel term for the broader content system</x:v>
      </x:c>
    </x:row>
    <x:row r="22">
      <x:c r="A22" s="95" t="str">
        <x:v>18</x:v>
      </x:c>
      <x:c r="B22" s="67" t="str">
        <x:v>best home builder websites</x:v>
      </x:c>
      <x:c r="C22" s="67" t="str">
        <x:v>Website conversion</x:v>
      </x:c>
      <x:c r="D22" s="67" t="str">
        <x:v>Commercial</x:v>
      </x:c>
      <x:c r="E22" s="67" t="str">
        <x:v>Consideration</x:v>
      </x:c>
      <x:c r="F22" s="107" t="str">
        <x:v>170</x:v>
      </x:c>
      <x:c r="G22" s="113" t="str">
        <x:v>15</x:v>
      </x:c>
      <x:c r="H22" s="119" t="str">
        <x:v>3.12</x:v>
      </x:c>
      <x:c r="I22" s="67" t="str">
        <x:v>GAL-01</x:v>
      </x:c>
      <x:c r="J22" s="67" t="str">
        <x:v>Best Home Builder Websites: Examples and Evaluation Criteria</x:v>
      </x:c>
      <x:c r="K22" s="67" t="str">
        <x:v>/best-home-builder-websites/</x:v>
      </x:c>
      <x:c r="L22" s="67" t="str">
        <x:v>Assigned</x:v>
      </x:c>
      <x:c r="M22" s="67" t="str">
        <x:v>Brief ready; production not included in current pilot</x:v>
      </x:c>
      <x:c r="N22" s="67" t="str">
        <x:v>Days 61-90 / next phase</x:v>
      </x:c>
      <x:c r="O22" s="67" t="str">
        <x:v>Gallery and scoring guide</x:v>
      </x:c>
      <x:c r="P22" s="67" t="str">
        <x:v>Build in first 60 days</x:v>
      </x:c>
      <x:c r="Q22" s="67" t="str">
        <x:v>Live Semrush US desktop 2026-08-04</x:v>
      </x:c>
      <x:c r="R22" s="67" t="str"/>
      <x:c r="S22" s="67" t="str"/>
      <x:c r="T22" s="67" t="str"/>
      <x:c r="U22" s="67" t="str"/>
      <x:c r="V22" s="67" t="str">
        <x:v>Not tracked in the August 17 Moz export; retain the Semrush demand and difficulty decision.</x:v>
      </x:c>
      <x:c r="W22" s="67" t="str">
        <x:v>Commercial research intent with visual proof potential</x:v>
      </x:c>
    </x:row>
    <x:row r="23">
      <x:c r="A23" s="95" t="str">
        <x:v>19</x:v>
      </x:c>
      <x:c r="B23" s="67" t="str">
        <x:v>custom home builder websites</x:v>
      </x:c>
      <x:c r="C23" s="67" t="str">
        <x:v>Website conversion</x:v>
      </x:c>
      <x:c r="D23" s="67" t="str">
        <x:v>Informational</x:v>
      </x:c>
      <x:c r="E23" s="67" t="str">
        <x:v>Consideration</x:v>
      </x:c>
      <x:c r="F23" s="107" t="str">
        <x:v>140</x:v>
      </x:c>
      <x:c r="G23" s="113" t="str">
        <x:v>17</x:v>
      </x:c>
      <x:c r="H23" s="119" t="str">
        <x:v>3.16</x:v>
      </x:c>
      <x:c r="I23" s="67" t="str">
        <x:v>GAL-01</x:v>
      </x:c>
      <x:c r="J23" s="67" t="str">
        <x:v>Best Home Builder Websites: Examples and Evaluation Criteria</x:v>
      </x:c>
      <x:c r="K23" s="67" t="str">
        <x:v>/best-home-builder-websites/</x:v>
      </x:c>
      <x:c r="L23" s="67" t="str">
        <x:v>Assigned</x:v>
      </x:c>
      <x:c r="M23" s="67" t="str">
        <x:v>Brief ready; production not included in current pilot</x:v>
      </x:c>
      <x:c r="N23" s="67" t="str">
        <x:v>Days 61-90 / next phase</x:v>
      </x:c>
      <x:c r="O23" s="67" t="str">
        <x:v>Gallery and service support</x:v>
      </x:c>
      <x:c r="P23" s="67" t="str">
        <x:v>Build in first 60 days</x:v>
      </x:c>
      <x:c r="Q23" s="67" t="str">
        <x:v>Live Semrush US desktop 2026-08-04</x:v>
      </x:c>
      <x:c r="R23" s="67" t="str"/>
      <x:c r="S23" s="67" t="str"/>
      <x:c r="T23" s="67" t="str"/>
      <x:c r="U23" s="67" t="str"/>
      <x:c r="V23" s="67" t="str">
        <x:v>Not tracked in the August 17 Moz export; retain the Semrush demand and difficulty decision.</x:v>
      </x:c>
      <x:c r="W23" s="67" t="str">
        <x:v>Specific website term closely aligned to target market</x:v>
      </x:c>
    </x:row>
    <x:row r="24">
      <x:c r="A24" s="95" t="str">
        <x:v>20</x:v>
      </x:c>
      <x:c r="B24" s="67" t="str">
        <x:v>marketing automation for home builders</x:v>
      </x:c>
      <x:c r="C24" s="67" t="str">
        <x:v>Automation</x:v>
      </x:c>
      <x:c r="D24" s="67" t="str">
        <x:v>Informational</x:v>
      </x:c>
      <x:c r="E24" s="67" t="str">
        <x:v>Decision</x:v>
      </x:c>
      <x:c r="F24" s="107" t="str">
        <x:v>140</x:v>
      </x:c>
      <x:c r="G24" s="113" t="str">
        <x:v>0</x:v>
      </x:c>
      <x:c r="H24" s="119" t="str">
        <x:v>0.00</x:v>
      </x:c>
      <x:c r="I24" s="67" t="str">
        <x:v>AUTO-01</x:v>
      </x:c>
      <x:c r="J24" s="67" t="str">
        <x:v>Marketing Automation for Home Builders Without Losing the Human Touch</x:v>
      </x:c>
      <x:c r="K24" s="67" t="str">
        <x:v>/home-builder-marketing-automation/</x:v>
      </x:c>
      <x:c r="L24" s="67" t="str">
        <x:v>Assigned</x:v>
      </x:c>
      <x:c r="M24" s="67" t="str">
        <x:v>Brief ready; production not included in current pilot</x:v>
      </x:c>
      <x:c r="N24" s="67" t="str">
        <x:v>Days 61-90 / next phase</x:v>
      </x:c>
      <x:c r="O24" s="67" t="str">
        <x:v>Guide</x:v>
      </x:c>
      <x:c r="P24" s="67" t="str">
        <x:v>Build in first 90 days</x:v>
      </x:c>
      <x:c r="Q24" s="67" t="str">
        <x:v>Live Semrush US desktop 2026-08-04</x:v>
      </x:c>
      <x:c r="R24" s="67" t="str"/>
      <x:c r="S24" s="67" t="str"/>
      <x:c r="T24" s="67" t="str"/>
      <x:c r="U24" s="67" t="str"/>
      <x:c r="V24" s="67" t="str">
        <x:v>Not tracked in the August 17 Moz export; retain the Semrush demand and difficulty decision.</x:v>
      </x:c>
      <x:c r="W24" s="67" t="str">
        <x:v>Zero reported difficulty and useful conversion operations angle</x:v>
      </x:c>
    </x:row>
    <x:row r="25">
      <x:c r="A25" s="95" t="str">
        <x:v>21</x:v>
      </x:c>
      <x:c r="B25" s="67" t="str">
        <x:v>home builder marketing solutions</x:v>
      </x:c>
      <x:c r="C25" s="67" t="str">
        <x:v>Service positioning</x:v>
      </x:c>
      <x:c r="D25" s="67" t="str">
        <x:v>Informational</x:v>
      </x:c>
      <x:c r="E25" s="67" t="str">
        <x:v>Decision</x:v>
      </x:c>
      <x:c r="F25" s="107" t="str">
        <x:v>210</x:v>
      </x:c>
      <x:c r="G25" s="113" t="str">
        <x:v>5</x:v>
      </x:c>
      <x:c r="H25" s="119" t="str">
        <x:v>11.14</x:v>
      </x:c>
      <x:c r="I25" s="67" t="str">
        <x:v>HUB-01</x:v>
      </x:c>
      <x:c r="J25" s="67" t="str">
        <x:v>Custom Home Builder Marketing That Builds Trust Before the First Call</x:v>
      </x:c>
      <x:c r="K25" s="67" t="str">
        <x:v>/marketing-agency-for-builders/</x:v>
      </x:c>
      <x:c r="L25" s="67" t="str">
        <x:v>Assigned</x:v>
      </x:c>
      <x:c r="M25" s="67" t="str">
        <x:v>Complete interview-integrated draft</x:v>
      </x:c>
      <x:c r="N25" s="67" t="str">
        <x:v>Current pilot</x:v>
      </x:c>
      <x:c r="O25" s="67" t="str">
        <x:v>Solution overview</x:v>
      </x:c>
      <x:c r="P25" s="67" t="str">
        <x:v>Build in first 60 days</x:v>
      </x:c>
      <x:c r="Q25" s="67" t="str">
        <x:v>Live Semrush US desktop 2026-08-04</x:v>
      </x:c>
      <x:c r="R25" s="67" t="str">
        <x:v>2026-08-14</x:v>
      </x:c>
      <x:c r="S25" s="67" t="str"/>
      <x:c r="T25" s="67" t="str"/>
      <x:c r="U25" s="67" t="str">
        <x:v>11-50</x:v>
      </x:c>
      <x:c r="V25" s="67" t="str">
        <x:v>Tracked by Moz but not ranking on the latest date; Semrush remains the demand and opportunity source.</x:v>
      </x:c>
      <x:c r="W25" s="67" t="str">
        <x:v>Very low difficulty with strong CPC and direct solution intent</x:v>
      </x:c>
    </x:row>
    <x:row r="26">
      <x:c r="A26" s="95" t="str">
        <x:v>22</x:v>
      </x:c>
      <x:c r="B26" s="67" t="str">
        <x:v>home builder digital marketing agency</x:v>
      </x:c>
      <x:c r="C26" s="67" t="str">
        <x:v>Agency category</x:v>
      </x:c>
      <x:c r="D26" s="67" t="str">
        <x:v>Informational</x:v>
      </x:c>
      <x:c r="E26" s="67" t="str">
        <x:v>Decision</x:v>
      </x:c>
      <x:c r="F26" s="107" t="str">
        <x:v>210</x:v>
      </x:c>
      <x:c r="G26" s="113" t="str">
        <x:v>15</x:v>
      </x:c>
      <x:c r="H26" s="119" t="str">
        <x:v>0.00</x:v>
      </x:c>
      <x:c r="I26" s="67" t="str">
        <x:v>HUB-01</x:v>
      </x:c>
      <x:c r="J26" s="67" t="str">
        <x:v>Custom Home Builder Marketing That Builds Trust Before the First Call</x:v>
      </x:c>
      <x:c r="K26" s="67" t="str">
        <x:v>/marketing-agency-for-builders/</x:v>
      </x:c>
      <x:c r="L26" s="67" t="str">
        <x:v>Assigned</x:v>
      </x:c>
      <x:c r="M26" s="67" t="str">
        <x:v>Complete interview-integrated draft</x:v>
      </x:c>
      <x:c r="N26" s="67" t="str">
        <x:v>Current pilot</x:v>
      </x:c>
      <x:c r="O26" s="67" t="str">
        <x:v>Service page</x:v>
      </x:c>
      <x:c r="P26" s="67" t="str">
        <x:v>Build in first 90 days</x:v>
      </x:c>
      <x:c r="Q26" s="67" t="str">
        <x:v>Live Semrush US desktop 2026-08-04</x:v>
      </x:c>
      <x:c r="R26" s="67" t="str">
        <x:v>2026-08-14</x:v>
      </x:c>
      <x:c r="S26" s="67" t="str">
        <x:v>2</x:v>
      </x:c>
      <x:c r="T26" s="67" t="str">
        <x:v>2</x:v>
      </x:c>
      <x:c r="U26" s="67" t="str">
        <x:v>0-10</x:v>
      </x:c>
      <x:c r="V26" s="67" t="str">
        <x:v>Moz supplies current rank and landing-page evidence; Semrush remains the source for US volume, difficulty, intent, and build priority.</x:v>
      </x:c>
      <x:c r="W26" s="67" t="str">
        <x:v>Builder specific agency intent with favorable difficulty</x:v>
      </x:c>
    </x:row>
    <x:row r="27">
      <x:c r="A27" s="95" t="str">
        <x:v>23</x:v>
      </x:c>
      <x:c r="B27" s="67" t="str">
        <x:v>new home builder marketing</x:v>
      </x:c>
      <x:c r="C27" s="67" t="str">
        <x:v>Strategy</x:v>
      </x:c>
      <x:c r="D27" s="67" t="str">
        <x:v>Informational</x:v>
      </x:c>
      <x:c r="E27" s="67" t="str">
        <x:v>Consideration</x:v>
      </x:c>
      <x:c r="F27" s="107" t="str">
        <x:v>320</x:v>
      </x:c>
      <x:c r="G27" s="113" t="str">
        <x:v>21</x:v>
      </x:c>
      <x:c r="H27" s="119" t="str">
        <x:v>0.00</x:v>
      </x:c>
      <x:c r="I27" s="67" t="str">
        <x:v>AUD-01</x:v>
      </x:c>
      <x:c r="J27" s="67" t="str">
        <x:v>Custom Home Builder Target Market Segments</x:v>
      </x:c>
      <x:c r="K27" s="67" t="str">
        <x:v>/custom-home-builder-target-market-segments/</x:v>
      </x:c>
      <x:c r="L27" s="67" t="str">
        <x:v>Assigned</x:v>
      </x:c>
      <x:c r="M27" s="67" t="str">
        <x:v>Brief ready; production not included in current pilot</x:v>
      </x:c>
      <x:c r="N27" s="67" t="str">
        <x:v>Days 31-60 / next phase</x:v>
      </x:c>
      <x:c r="O27" s="67" t="str">
        <x:v>Supporting guide</x:v>
      </x:c>
      <x:c r="P27" s="67" t="str">
        <x:v>Build in first 90 days</x:v>
      </x:c>
      <x:c r="Q27" s="67" t="str">
        <x:v>Live Semrush US desktop 2026-08-04</x:v>
      </x:c>
      <x:c r="R27" s="67" t="str"/>
      <x:c r="S27" s="67" t="str"/>
      <x:c r="T27" s="67" t="str"/>
      <x:c r="U27" s="67" t="str"/>
      <x:c r="V27" s="67" t="str">
        <x:v>Not tracked in the August 17 Moz export; retain the Semrush demand and difficulty decision.</x:v>
      </x:c>
      <x:c r="W27" s="67" t="str">
        <x:v>Meaningful related demand that can support the main hub</x:v>
      </x:c>
    </x:row>
    <x:row r="28">
      <x:c r="A28" s="95" t="str">
        <x:v>24</x:v>
      </x:c>
      <x:c r="B28" s="67" t="str">
        <x:v>home builder marketing company</x:v>
      </x:c>
      <x:c r="C28" s="67" t="str">
        <x:v>Agency category</x:v>
      </x:c>
      <x:c r="D28" s="67" t="str">
        <x:v>Commercial</x:v>
      </x:c>
      <x:c r="E28" s="67" t="str">
        <x:v>Decision</x:v>
      </x:c>
      <x:c r="F28" s="107" t="str">
        <x:v>320</x:v>
      </x:c>
      <x:c r="G28" s="113" t="str">
        <x:v>18</x:v>
      </x:c>
      <x:c r="H28" s="119" t="str">
        <x:v>11.14</x:v>
      </x:c>
      <x:c r="I28" s="67" t="str">
        <x:v>HUB-01</x:v>
      </x:c>
      <x:c r="J28" s="67" t="str">
        <x:v>Custom Home Builder Marketing That Builds Trust Before the First Call</x:v>
      </x:c>
      <x:c r="K28" s="67" t="str">
        <x:v>/marketing-agency-for-builders/</x:v>
      </x:c>
      <x:c r="L28" s="67" t="str">
        <x:v>Assigned</x:v>
      </x:c>
      <x:c r="M28" s="67" t="str">
        <x:v>Complete interview-integrated draft</x:v>
      </x:c>
      <x:c r="N28" s="67" t="str">
        <x:v>Current pilot</x:v>
      </x:c>
      <x:c r="O28" s="67" t="str">
        <x:v>Service page</x:v>
      </x:c>
      <x:c r="P28" s="67" t="str">
        <x:v>Build in first 90 days</x:v>
      </x:c>
      <x:c r="Q28" s="67" t="str">
        <x:v>Live Semrush US desktop 2026-08-04</x:v>
      </x:c>
      <x:c r="R28" s="67" t="str">
        <x:v>2026-08-14</x:v>
      </x:c>
      <x:c r="S28" s="67" t="str">
        <x:v>2</x:v>
      </x:c>
      <x:c r="T28" s="67" t="str">
        <x:v>2</x:v>
      </x:c>
      <x:c r="U28" s="67" t="str">
        <x:v>0-10</x:v>
      </x:c>
      <x:c r="V28" s="67" t="str">
        <x:v>Moz supplies current rank and landing-page evidence; Semrush remains the source for US volume, difficulty, intent, and build priority.</x:v>
      </x:c>
      <x:c r="W28" s="67" t="str">
        <x:v>Strong commercial intent and high CPC within the builder niche</x:v>
      </x:c>
    </x:row>
    <x:row r="29">
      <x:c r="A29" s="95" t="str">
        <x:v>25</x:v>
      </x:c>
      <x:c r="B29" s="67" t="str">
        <x:v>home builder marketing agency</x:v>
      </x:c>
      <x:c r="C29" s="67" t="str">
        <x:v>Agency category</x:v>
      </x:c>
      <x:c r="D29" s="67" t="str">
        <x:v>Commercial</x:v>
      </x:c>
      <x:c r="E29" s="67" t="str">
        <x:v>Decision</x:v>
      </x:c>
      <x:c r="F29" s="107" t="str">
        <x:v>720</x:v>
      </x:c>
      <x:c r="G29" s="113" t="str">
        <x:v>31</x:v>
      </x:c>
      <x:c r="H29" s="119" t="str">
        <x:v>14.11</x:v>
      </x:c>
      <x:c r="I29" s="67" t="str">
        <x:v>HUB-01</x:v>
      </x:c>
      <x:c r="J29" s="67" t="str">
        <x:v>Custom Home Builder Marketing That Builds Trust Before the First Call</x:v>
      </x:c>
      <x:c r="K29" s="67" t="str">
        <x:v>/marketing-agency-for-builders/</x:v>
      </x:c>
      <x:c r="L29" s="67" t="str">
        <x:v>Assigned</x:v>
      </x:c>
      <x:c r="M29" s="67" t="str">
        <x:v>Complete interview-integrated draft</x:v>
      </x:c>
      <x:c r="N29" s="67" t="str">
        <x:v>Current pilot</x:v>
      </x:c>
      <x:c r="O29" s="67" t="str">
        <x:v>Service page</x:v>
      </x:c>
      <x:c r="P29" s="67" t="str">
        <x:v>Build after authority foundation</x:v>
      </x:c>
      <x:c r="Q29" s="67" t="str">
        <x:v>Live Semrush US desktop 2026-08-04</x:v>
      </x:c>
      <x:c r="R29" s="67" t="str">
        <x:v>2026-08-14</x:v>
      </x:c>
      <x:c r="S29" s="67" t="str">
        <x:v>1</x:v>
      </x:c>
      <x:c r="T29" s="67" t="str">
        <x:v>2</x:v>
      </x:c>
      <x:c r="U29" s="67" t="str">
        <x:v>51-100</x:v>
      </x:c>
      <x:c r="V29" s="67" t="str">
        <x:v>Moz supplies current rank and landing-page evidence; Semrush remains the source for US volume, difficulty, intent, and build priority.</x:v>
      </x:c>
      <x:c r="W29" s="67" t="str">
        <x:v>Highest builder agency demand and CPC but more competitive than the quick wins</x:v>
      </x:c>
    </x:row>
    <x:row r="30">
      <x:c r="A30" s="95" t="str">
        <x:v>26</x:v>
      </x:c>
      <x:c r="B30" s="67" t="str">
        <x:v>digital marketing for custom home builder</x:v>
      </x:c>
      <x:c r="C30" s="67" t="str">
        <x:v>Digital strategy</x:v>
      </x:c>
      <x:c r="D30" s="67" t="str">
        <x:v>Informational</x:v>
      </x:c>
      <x:c r="E30" s="67" t="str">
        <x:v>Consideration</x:v>
      </x:c>
      <x:c r="F30" s="107" t="str">
        <x:v>110</x:v>
      </x:c>
      <x:c r="G30" s="113" t="str">
        <x:v>10</x:v>
      </x:c>
      <x:c r="H30" s="119" t="str">
        <x:v>3.60</x:v>
      </x:c>
      <x:c r="I30" s="67" t="str">
        <x:v>HUB-01</x:v>
      </x:c>
      <x:c r="J30" s="67" t="str">
        <x:v>Custom Home Builder Marketing That Builds Trust Before the First Call</x:v>
      </x:c>
      <x:c r="K30" s="67" t="str">
        <x:v>/marketing-agency-for-builders/</x:v>
      </x:c>
      <x:c r="L30" s="67" t="str">
        <x:v>Assigned</x:v>
      </x:c>
      <x:c r="M30" s="67" t="str">
        <x:v>Complete interview-integrated draft</x:v>
      </x:c>
      <x:c r="N30" s="67" t="str">
        <x:v>Current pilot</x:v>
      </x:c>
      <x:c r="O30" s="67" t="str">
        <x:v>Supporting article</x:v>
      </x:c>
      <x:c r="P30" s="67" t="str">
        <x:v>Build in first 60 days</x:v>
      </x:c>
      <x:c r="Q30" s="67" t="str">
        <x:v>Live Semrush US desktop 2026-08-04</x:v>
      </x:c>
      <x:c r="R30" s="67" t="str"/>
      <x:c r="S30" s="67" t="str"/>
      <x:c r="T30" s="67" t="str"/>
      <x:c r="U30" s="67" t="str"/>
      <x:c r="V30" s="67" t="str">
        <x:v>Not tracked in the August 17 Moz export; retain the Semrush demand and difficulty decision.</x:v>
      </x:c>
      <x:c r="W30" s="67" t="str">
        <x:v>Specific custom builder variation with very easy difficulty</x:v>
      </x:c>
    </x:row>
    <x:row r="31">
      <x:c r="A31" s="95" t="str">
        <x:v>27</x:v>
      </x:c>
      <x:c r="B31" s="67" t="str">
        <x:v>home builder CRM marketing</x:v>
      </x:c>
      <x:c r="C31" s="67" t="str">
        <x:v>CRM and nurture</x:v>
      </x:c>
      <x:c r="D31" s="67" t="str">
        <x:v>Informational plus Commercial</x:v>
      </x:c>
      <x:c r="E31" s="67" t="str">
        <x:v>Decision</x:v>
      </x:c>
      <x:c r="F31" s="107" t="str">
        <x:v>110</x:v>
      </x:c>
      <x:c r="G31" s="113" t="str">
        <x:v>6</x:v>
      </x:c>
      <x:c r="H31" s="119" t="str">
        <x:v>10.20</x:v>
      </x:c>
      <x:c r="I31" s="67" t="str">
        <x:v>NUR-01</x:v>
      </x:c>
      <x:c r="J31" s="67" t="str">
        <x:v>Home Builder Email Marketing, CRM, and Lead Nurture</x:v>
      </x:c>
      <x:c r="K31" s="67" t="str">
        <x:v>/home-builder-email-marketing-crm/</x:v>
      </x:c>
      <x:c r="L31" s="67" t="str">
        <x:v>Assigned</x:v>
      </x:c>
      <x:c r="M31" s="67" t="str">
        <x:v>Brief ready; production not included in current pilot</x:v>
      </x:c>
      <x:c r="N31" s="67" t="str">
        <x:v>Days 61-90 / next phase</x:v>
      </x:c>
      <x:c r="O31" s="67" t="str">
        <x:v>CRM guide</x:v>
      </x:c>
      <x:c r="P31" s="67" t="str">
        <x:v>Build in first 90 days</x:v>
      </x:c>
      <x:c r="Q31" s="67" t="str">
        <x:v>Live Semrush US desktop 2026-08-04</x:v>
      </x:c>
      <x:c r="R31" s="67" t="str"/>
      <x:c r="S31" s="67" t="str"/>
      <x:c r="T31" s="67" t="str"/>
      <x:c r="U31" s="67" t="str"/>
      <x:c r="V31" s="67" t="str">
        <x:v>Not tracked in the August 17 Moz export; retain the Semrush demand and difficulty decision.</x:v>
      </x:c>
      <x:c r="W31" s="67" t="str">
        <x:v>Very low difficulty high CPC topic tied to measurable lead handling</x:v>
      </x:c>
    </x:row>
    <x:row r="32">
      <x:c r="A32" s="95" t="str">
        <x:v>28</x:v>
      </x:c>
      <x:c r="B32" s="67" t="str">
        <x:v>home builder website examples</x:v>
      </x:c>
      <x:c r="C32" s="67" t="str">
        <x:v>Website conversion</x:v>
      </x:c>
      <x:c r="D32" s="67" t="str">
        <x:v>Informational plus Commercial</x:v>
      </x:c>
      <x:c r="E32" s="67" t="str">
        <x:v>Consideration</x:v>
      </x:c>
      <x:c r="F32" s="107" t="str">
        <x:v>110</x:v>
      </x:c>
      <x:c r="G32" s="113" t="str">
        <x:v>6</x:v>
      </x:c>
      <x:c r="H32" s="119" t="str">
        <x:v>0.00</x:v>
      </x:c>
      <x:c r="I32" s="67" t="str">
        <x:v>GAL-01</x:v>
      </x:c>
      <x:c r="J32" s="67" t="str">
        <x:v>Best Home Builder Websites: Examples and Evaluation Criteria</x:v>
      </x:c>
      <x:c r="K32" s="67" t="str">
        <x:v>/best-home-builder-websites/</x:v>
      </x:c>
      <x:c r="L32" s="67" t="str">
        <x:v>Assigned</x:v>
      </x:c>
      <x:c r="M32" s="67" t="str">
        <x:v>Brief ready; production not included in current pilot</x:v>
      </x:c>
      <x:c r="N32" s="67" t="str">
        <x:v>Days 61-90 / next phase</x:v>
      </x:c>
      <x:c r="O32" s="67" t="str">
        <x:v>Example gallery</x:v>
      </x:c>
      <x:c r="P32" s="67" t="str">
        <x:v>Build in first 60 days</x:v>
      </x:c>
      <x:c r="Q32" s="67" t="str">
        <x:v>Live Semrush US desktop 2026-08-04</x:v>
      </x:c>
      <x:c r="R32" s="67" t="str"/>
      <x:c r="S32" s="67" t="str"/>
      <x:c r="T32" s="67" t="str"/>
      <x:c r="U32" s="67" t="str"/>
      <x:c r="V32" s="67" t="str">
        <x:v>Not tracked in the August 17 Moz export; retain the Semrush demand and difficulty decision.</x:v>
      </x:c>
      <x:c r="W32" s="67" t="str">
        <x:v>Very low difficulty proof asset with high visual value</x:v>
      </x:c>
    </x:row>
    <x:row r="33">
      <x:c r="A33" s="95" t="str">
        <x:v>29</x:v>
      </x:c>
      <x:c r="B33" s="67" t="str">
        <x:v>home builder marketing services</x:v>
      </x:c>
      <x:c r="C33" s="67" t="str">
        <x:v>Service positioning</x:v>
      </x:c>
      <x:c r="D33" s="67" t="str">
        <x:v>Informational</x:v>
      </x:c>
      <x:c r="E33" s="67" t="str">
        <x:v>Decision</x:v>
      </x:c>
      <x:c r="F33" s="107" t="str">
        <x:v>70</x:v>
      </x:c>
      <x:c r="G33" s="113" t="str">
        <x:v>13</x:v>
      </x:c>
      <x:c r="H33" s="119" t="str">
        <x:v>0.00</x:v>
      </x:c>
      <x:c r="I33" s="67" t="str">
        <x:v>HUB-01</x:v>
      </x:c>
      <x:c r="J33" s="67" t="str">
        <x:v>Custom Home Builder Marketing That Builds Trust Before the First Call</x:v>
      </x:c>
      <x:c r="K33" s="67" t="str">
        <x:v>/marketing-agency-for-builders/</x:v>
      </x:c>
      <x:c r="L33" s="67" t="str">
        <x:v>Assigned</x:v>
      </x:c>
      <x:c r="M33" s="67" t="str">
        <x:v>Complete interview-integrated draft</x:v>
      </x:c>
      <x:c r="N33" s="67" t="str">
        <x:v>Current pilot</x:v>
      </x:c>
      <x:c r="O33" s="67" t="str">
        <x:v>Service page support</x:v>
      </x:c>
      <x:c r="P33" s="67" t="str">
        <x:v>Build in first 90 days</x:v>
      </x:c>
      <x:c r="Q33" s="67" t="str">
        <x:v>Live Semrush US desktop 2026-08-04</x:v>
      </x:c>
      <x:c r="R33" s="67" t="str"/>
      <x:c r="S33" s="67" t="str"/>
      <x:c r="T33" s="67" t="str"/>
      <x:c r="U33" s="67" t="str"/>
      <x:c r="V33" s="67" t="str">
        <x:v>Not tracked in the August 17 Moz export; retain the Semrush demand and difficulty decision.</x:v>
      </x:c>
      <x:c r="W33" s="67" t="str">
        <x:v>Relevant lower volume service variation</x:v>
      </x:c>
    </x:row>
    <x:row r="34">
      <x:c r="A34" s="95" t="str">
        <x:v>30</x:v>
      </x:c>
      <x:c r="B34" s="67" t="str">
        <x:v>home builder social media marketing</x:v>
      </x:c>
      <x:c r="C34" s="67" t="str">
        <x:v>Social</x:v>
      </x:c>
      <x:c r="D34" s="67" t="str">
        <x:v>Informational</x:v>
      </x:c>
      <x:c r="E34" s="67" t="str">
        <x:v>Awareness</x:v>
      </x:c>
      <x:c r="F34" s="107" t="str">
        <x:v>70</x:v>
      </x:c>
      <x:c r="G34" s="113" t="str">
        <x:v>6</x:v>
      </x:c>
      <x:c r="H34" s="119" t="str">
        <x:v>0.33</x:v>
      </x:c>
      <x:c r="I34" s="67" t="str">
        <x:v>SOC-01</x:v>
      </x:c>
      <x:c r="J34" s="67" t="str">
        <x:v>Social Media Marketing for Home Builders</x:v>
      </x:c>
      <x:c r="K34" s="67" t="str">
        <x:v>/social-media-marketing-for-home-builders/</x:v>
      </x:c>
      <x:c r="L34" s="67" t="str">
        <x:v>Assigned</x:v>
      </x:c>
      <x:c r="M34" s="67" t="str">
        <x:v>Brief ready; production explicitly excluded from current pilot</x:v>
      </x:c>
      <x:c r="N34" s="67" t="str">
        <x:v>Phase 2</x:v>
      </x:c>
      <x:c r="O34" s="67" t="str">
        <x:v>Supporting article</x:v>
      </x:c>
      <x:c r="P34" s="67" t="str">
        <x:v>Map to social guide</x:v>
      </x:c>
      <x:c r="Q34" s="67" t="str">
        <x:v>Live Semrush US desktop 2026-08-04</x:v>
      </x:c>
      <x:c r="R34" s="67" t="str"/>
      <x:c r="S34" s="67" t="str"/>
      <x:c r="T34" s="67" t="str"/>
      <x:c r="U34" s="67" t="str"/>
      <x:c r="V34" s="67" t="str">
        <x:v>Not tracked in the August 17 Moz export; retain the Semrush demand and difficulty decision.</x:v>
      </x:c>
      <x:c r="W34" s="67" t="str">
        <x:v>Very low difficulty close variation for social topic coverage</x:v>
      </x:c>
    </x:row>
    <x:row r="35">
      <x:c r="A35" s="95" t="str">
        <x:v>31</x:v>
      </x:c>
      <x:c r="B35" s="67" t="str">
        <x:v>home builder website services</x:v>
      </x:c>
      <x:c r="C35" s="67" t="str">
        <x:v>Website conversion</x:v>
      </x:c>
      <x:c r="D35" s="67" t="str">
        <x:v>Commercial</x:v>
      </x:c>
      <x:c r="E35" s="67" t="str">
        <x:v>Decision</x:v>
      </x:c>
      <x:c r="F35" s="107" t="str">
        <x:v>90</x:v>
      </x:c>
      <x:c r="G35" s="113" t="str">
        <x:v>15</x:v>
      </x:c>
      <x:c r="H35" s="119" t="str">
        <x:v>3.64</x:v>
      </x:c>
      <x:c r="I35" s="67" t="str">
        <x:v>WEB-01</x:v>
      </x:c>
      <x:c r="J35" s="67" t="str">
        <x:v>Home Builder Website Design, Proof, and Conversion</x:v>
      </x:c>
      <x:c r="K35" s="67" t="str">
        <x:v>/home-builder-website-design/</x:v>
      </x:c>
      <x:c r="L35" s="67" t="str">
        <x:v>Assigned</x:v>
      </x:c>
      <x:c r="M35" s="67" t="str">
        <x:v>Brief ready; production not included in current pilot</x:v>
      </x:c>
      <x:c r="N35" s="67" t="str">
        <x:v>Days 31-60 / next phase</x:v>
      </x:c>
      <x:c r="O35" s="67" t="str">
        <x:v>Service page</x:v>
      </x:c>
      <x:c r="P35" s="67" t="str">
        <x:v>Build in first 90 days</x:v>
      </x:c>
      <x:c r="Q35" s="67" t="str">
        <x:v>Live Semrush US desktop 2026-08-04</x:v>
      </x:c>
      <x:c r="R35" s="67" t="str"/>
      <x:c r="S35" s="67" t="str"/>
      <x:c r="T35" s="67" t="str"/>
      <x:c r="U35" s="67" t="str"/>
      <x:c r="V35" s="67" t="str">
        <x:v>Not tracked in the August 17 Moz export; retain the Semrush demand and difficulty decision.</x:v>
      </x:c>
      <x:c r="W35" s="67" t="str">
        <x:v>Commercial website service intent with favorable difficulty</x:v>
      </x:c>
    </x:row>
    <x:row r="36">
      <x:c r="A36" s="95" t="str">
        <x:v>32</x:v>
      </x:c>
      <x:c r="B36" s="67" t="str">
        <x:v>custom home builder marketing agency</x:v>
      </x:c>
      <x:c r="C36" s="67" t="str">
        <x:v>Agency category</x:v>
      </x:c>
      <x:c r="D36" s="67" t="str">
        <x:v>Informational</x:v>
      </x:c>
      <x:c r="E36" s="67" t="str">
        <x:v>Decision</x:v>
      </x:c>
      <x:c r="F36" s="107" t="str">
        <x:v>90</x:v>
      </x:c>
      <x:c r="G36" s="113" t="str">
        <x:v>21</x:v>
      </x:c>
      <x:c r="H36" s="119" t="str">
        <x:v>9.13</x:v>
      </x:c>
      <x:c r="I36" s="67" t="str">
        <x:v>HUB-01</x:v>
      </x:c>
      <x:c r="J36" s="67" t="str">
        <x:v>Custom Home Builder Marketing That Builds Trust Before the First Call</x:v>
      </x:c>
      <x:c r="K36" s="67" t="str">
        <x:v>/marketing-agency-for-builders/</x:v>
      </x:c>
      <x:c r="L36" s="67" t="str">
        <x:v>Assigned</x:v>
      </x:c>
      <x:c r="M36" s="67" t="str">
        <x:v>Complete interview-integrated draft</x:v>
      </x:c>
      <x:c r="N36" s="67" t="str">
        <x:v>Current pilot</x:v>
      </x:c>
      <x:c r="O36" s="67" t="str">
        <x:v>Service page</x:v>
      </x:c>
      <x:c r="P36" s="67" t="str">
        <x:v>Build after pillar launch</x:v>
      </x:c>
      <x:c r="Q36" s="67" t="str">
        <x:v>Live Semrush US desktop 2026-08-04</x:v>
      </x:c>
      <x:c r="R36" s="67" t="str">
        <x:v>2026-08-14</x:v>
      </x:c>
      <x:c r="S36" s="67" t="str">
        <x:v>13</x:v>
      </x:c>
      <x:c r="T36" s="67" t="str">
        <x:v>13</x:v>
      </x:c>
      <x:c r="U36" s="67" t="str">
        <x:v>0-10</x:v>
      </x:c>
      <x:c r="V36" s="67" t="str">
        <x:v>Moz supplies current rank and landing-page evidence; Semrush remains the source for US volume, difficulty, intent, and build priority.</x:v>
      </x:c>
      <x:c r="W36" s="67" t="str">
        <x:v>Exact niche agency variation with strong CPC</x:v>
      </x:c>
    </x:row>
    <x:row r="37">
      <x:c r="A37" s="95" t="str">
        <x:v>33</x:v>
      </x:c>
      <x:c r="B37" s="67" t="str">
        <x:v>SEO for custom home builders</x:v>
      </x:c>
      <x:c r="C37" s="67" t="str">
        <x:v>SEO and visibility</x:v>
      </x:c>
      <x:c r="D37" s="67" t="str">
        <x:v>Unclassified</x:v>
      </x:c>
      <x:c r="E37" s="67" t="str">
        <x:v>Consideration</x:v>
      </x:c>
      <x:c r="F37" s="107" t="str">
        <x:v>90</x:v>
      </x:c>
      <x:c r="G37" s="113" t="str">
        <x:v>Not available</x:v>
      </x:c>
      <x:c r="H37" s="119" t="str">
        <x:v>0.00</x:v>
      </x:c>
      <x:c r="I37" s="67" t="str">
        <x:v>VIS-01</x:v>
      </x:c>
      <x:c r="J37" s="67" t="str">
        <x:v>SEO, Local Search, and AI Visibility for Home Builders</x:v>
      </x:c>
      <x:c r="K37" s="67" t="str">
        <x:v>/seo-for-home-builders/</x:v>
      </x:c>
      <x:c r="L37" s="67" t="str">
        <x:v>Assigned</x:v>
      </x:c>
      <x:c r="M37" s="67" t="str">
        <x:v>Brief ready; production not included in current pilot</x:v>
      </x:c>
      <x:c r="N37" s="67" t="str">
        <x:v>Days 31-60 / next phase</x:v>
      </x:c>
      <x:c r="O37" s="67" t="str">
        <x:v>Subpillar variation</x:v>
      </x:c>
      <x:c r="P37" s="67" t="str">
        <x:v>Map to SEO subpillar</x:v>
      </x:c>
      <x:c r="Q37" s="67" t="str">
        <x:v>Semrush volume current but KD refresh unavailable 2026-08-04</x:v>
      </x:c>
      <x:c r="R37" s="67" t="str"/>
      <x:c r="S37" s="67" t="str"/>
      <x:c r="T37" s="67" t="str"/>
      <x:c r="U37" s="67" t="str"/>
      <x:c r="V37" s="67" t="str">
        <x:v>Not tracked in the August 17 Moz export; retain the Semrush demand and difficulty decision.</x:v>
      </x:c>
      <x:c r="W37" s="67" t="str">
        <x:v>Highly specific service variation retained as secondary target</x:v>
      </x:c>
    </x:row>
    <x:row r="38">
      <x:c r="A38" s="95" t="str">
        <x:v>34</x:v>
      </x:c>
      <x:c r="B38" s="67" t="str">
        <x:v>home builder website optimization</x:v>
      </x:c>
      <x:c r="C38" s="67" t="str">
        <x:v>Website conversion</x:v>
      </x:c>
      <x:c r="D38" s="67" t="str">
        <x:v>Informational</x:v>
      </x:c>
      <x:c r="E38" s="67" t="str">
        <x:v>Consideration</x:v>
      </x:c>
      <x:c r="F38" s="107" t="str">
        <x:v>40</x:v>
      </x:c>
      <x:c r="G38" s="113" t="str">
        <x:v>0</x:v>
      </x:c>
      <x:c r="H38" s="119" t="str">
        <x:v>0.07</x:v>
      </x:c>
      <x:c r="I38" s="67" t="str">
        <x:v>ART-01</x:v>
      </x:c>
      <x:c r="J38" s="67" t="str">
        <x:v>Why Your Home Builder Website Is Not Generating Qualified Leads</x:v>
      </x:c>
      <x:c r="K38" s="67" t="str">
        <x:v>/home-builder-website-not-generating-leads/</x:v>
      </x:c>
      <x:c r="L38" s="67" t="str">
        <x:v>Assigned</x:v>
      </x:c>
      <x:c r="M38" s="67" t="str">
        <x:v>Complete interview-integrated draft</x:v>
      </x:c>
      <x:c r="N38" s="67" t="str">
        <x:v>Current pilot</x:v>
      </x:c>
      <x:c r="O38" s="67" t="str">
        <x:v>Technical conversion article</x:v>
      </x:c>
      <x:c r="P38" s="67" t="str">
        <x:v>Build now</x:v>
      </x:c>
      <x:c r="Q38" s="67" t="str">
        <x:v>Live Semrush US desktop 2026-08-04</x:v>
      </x:c>
      <x:c r="R38" s="67" t="str"/>
      <x:c r="S38" s="67" t="str"/>
      <x:c r="T38" s="67" t="str"/>
      <x:c r="U38" s="67" t="str"/>
      <x:c r="V38" s="67" t="str">
        <x:v>Not tracked in the August 17 Moz export; retain the Semrush demand and difficulty decision.</x:v>
      </x:c>
      <x:c r="W38" s="67" t="str">
        <x:v>Zero reported difficulty and strong fit for technical plus conversion proof</x:v>
      </x:c>
    </x:row>
    <x:row r="39">
      <x:c r="A39" s="95" t="str">
        <x:v>35</x:v>
      </x:c>
      <x:c r="B39" s="67" t="str">
        <x:v>home builder content marketing</x:v>
      </x:c>
      <x:c r="C39" s="67" t="str">
        <x:v>Content</x:v>
      </x:c>
      <x:c r="D39" s="67" t="str">
        <x:v>Informational</x:v>
      </x:c>
      <x:c r="E39" s="67" t="str">
        <x:v>Consideration</x:v>
      </x:c>
      <x:c r="F39" s="107" t="str">
        <x:v>40</x:v>
      </x:c>
      <x:c r="G39" s="113" t="str">
        <x:v>8</x:v>
      </x:c>
      <x:c r="H39" s="119" t="str">
        <x:v>0.00</x:v>
      </x:c>
      <x:c r="I39" s="67" t="str">
        <x:v>CNT-01</x:v>
      </x:c>
      <x:c r="J39" s="67" t="str">
        <x:v>Home Builder Content Marketing That Answers Real Buyer Questions</x:v>
      </x:c>
      <x:c r="K39" s="67" t="str">
        <x:v>/home-builder-content-marketing/</x:v>
      </x:c>
      <x:c r="L39" s="67" t="str">
        <x:v>Assigned</x:v>
      </x:c>
      <x:c r="M39" s="67" t="str">
        <x:v>Brief ready; production not included in current pilot</x:v>
      </x:c>
      <x:c r="N39" s="67" t="str">
        <x:v>Days 31-60 / next phase</x:v>
      </x:c>
      <x:c r="O39" s="67" t="str">
        <x:v>Subpillar article</x:v>
      </x:c>
      <x:c r="P39" s="67" t="str">
        <x:v>Build in first 60 days</x:v>
      </x:c>
      <x:c r="Q39" s="67" t="str">
        <x:v>Live Semrush US desktop 2026-08-04</x:v>
      </x:c>
      <x:c r="R39" s="67" t="str"/>
      <x:c r="S39" s="67" t="str"/>
      <x:c r="T39" s="67" t="str"/>
      <x:c r="U39" s="67" t="str"/>
      <x:c r="V39" s="67" t="str">
        <x:v>Not tracked in the August 17 Moz export; retain the Semrush demand and difficulty decision.</x:v>
      </x:c>
      <x:c r="W39" s="67" t="str">
        <x:v>Very easy builder specific content category</x:v>
      </x:c>
    </x:row>
    <x:row r="40">
      <x:c r="A40" s="95" t="str">
        <x:v>36</x:v>
      </x:c>
      <x:c r="B40" s="67" t="str">
        <x:v>PPC for home builders</x:v>
      </x:c>
      <x:c r="C40" s="67" t="str">
        <x:v>Paid media</x:v>
      </x:c>
      <x:c r="D40" s="67" t="str">
        <x:v>Informational</x:v>
      </x:c>
      <x:c r="E40" s="67" t="str">
        <x:v>Decision</x:v>
      </x:c>
      <x:c r="F40" s="107" t="str">
        <x:v>40</x:v>
      </x:c>
      <x:c r="G40" s="113" t="str">
        <x:v>1</x:v>
      </x:c>
      <x:c r="H40" s="119" t="str">
        <x:v>0.00</x:v>
      </x:c>
      <x:c r="I40" s="67" t="str">
        <x:v>PPC-01</x:v>
      </x:c>
      <x:c r="J40" s="67" t="str">
        <x:v>PPC for Home Builders</x:v>
      </x:c>
      <x:c r="K40" s="67" t="str">
        <x:v>/ppc-for-home-builders/</x:v>
      </x:c>
      <x:c r="L40" s="67" t="str">
        <x:v>Assigned</x:v>
      </x:c>
      <x:c r="M40" s="67" t="str">
        <x:v>Deferred until conversion tracking and proof are validated</x:v>
      </x:c>
      <x:c r="N40" s="67" t="str">
        <x:v>Backlog</x:v>
      </x:c>
      <x:c r="O40" s="67" t="str">
        <x:v>Service support page</x:v>
      </x:c>
      <x:c r="P40" s="67" t="str">
        <x:v>Backlog</x:v>
      </x:c>
      <x:c r="Q40" s="67" t="str">
        <x:v>Live Semrush US desktop 2026-08-04</x:v>
      </x:c>
      <x:c r="R40" s="67" t="str"/>
      <x:c r="S40" s="67" t="str"/>
      <x:c r="T40" s="67" t="str"/>
      <x:c r="U40" s="67" t="str"/>
      <x:c r="V40" s="67" t="str">
        <x:v>Not tracked in the August 17 Moz export; retain the Semrush demand and difficulty decision.</x:v>
      </x:c>
      <x:c r="W40" s="67" t="str">
        <x:v>Very low difficulty but outside the narrow organic authority wedge</x:v>
      </x:c>
    </x:row>
    <x:row r="41">
      <x:c r="A41" s="95" t="str">
        <x:v>37</x:v>
      </x:c>
      <x:c r="B41" s="67" t="str">
        <x:v>custom home builder website</x:v>
      </x:c>
      <x:c r="C41" s="67" t="str">
        <x:v>Website conversion</x:v>
      </x:c>
      <x:c r="D41" s="67" t="str">
        <x:v>Commercial</x:v>
      </x:c>
      <x:c r="E41" s="67" t="str">
        <x:v>Decision</x:v>
      </x:c>
      <x:c r="F41" s="107" t="str">
        <x:v>40</x:v>
      </x:c>
      <x:c r="G41" s="113" t="str">
        <x:v>34</x:v>
      </x:c>
      <x:c r="H41" s="119" t="str">
        <x:v>3.16</x:v>
      </x:c>
      <x:c r="I41" s="67" t="str">
        <x:v>WEB-01</x:v>
      </x:c>
      <x:c r="J41" s="67" t="str">
        <x:v>Home Builder Website Design, Proof, and Conversion</x:v>
      </x:c>
      <x:c r="K41" s="67" t="str">
        <x:v>/home-builder-website-design/</x:v>
      </x:c>
      <x:c r="L41" s="67" t="str">
        <x:v>Assigned</x:v>
      </x:c>
      <x:c r="M41" s="67" t="str">
        <x:v>Brief ready; production not included in current pilot</x:v>
      </x:c>
      <x:c r="N41" s="67" t="str">
        <x:v>Days 31-60 / next phase</x:v>
      </x:c>
      <x:c r="O41" s="67" t="str">
        <x:v>Service page support</x:v>
      </x:c>
      <x:c r="P41" s="67" t="str">
        <x:v>Validate SERP then build</x:v>
      </x:c>
      <x:c r="Q41" s="67" t="str">
        <x:v>Live Semrush US desktop 2026-08-04</x:v>
      </x:c>
      <x:c r="R41" s="67" t="str"/>
      <x:c r="S41" s="67" t="str"/>
      <x:c r="T41" s="67" t="str"/>
      <x:c r="U41" s="67" t="str"/>
      <x:c r="V41" s="67" t="str">
        <x:v>Not tracked in the August 17 Moz export; retain the Semrush demand and difficulty decision.</x:v>
      </x:c>
      <x:c r="W41" s="67" t="str">
        <x:v>Exact niche commercial phrase but meaning may mix builder and buyer intent</x:v>
      </x:c>
    </x:row>
    <x:row r="42">
      <x:c r="A42" s="95" t="str">
        <x:v>38</x:v>
      </x:c>
      <x:c r="B42" s="67" t="str">
        <x:v>home builder marketing consulting</x:v>
      </x:c>
      <x:c r="C42" s="67" t="str">
        <x:v>Consulting</x:v>
      </x:c>
      <x:c r="D42" s="67" t="str">
        <x:v>Informational</x:v>
      </x:c>
      <x:c r="E42" s="67" t="str">
        <x:v>Decision</x:v>
      </x:c>
      <x:c r="F42" s="107" t="str">
        <x:v>40</x:v>
      </x:c>
      <x:c r="G42" s="113" t="str">
        <x:v>7</x:v>
      </x:c>
      <x:c r="H42" s="119" t="str">
        <x:v>0.00</x:v>
      </x:c>
      <x:c r="I42" s="67" t="str">
        <x:v>CONSULT-01</x:v>
      </x:c>
      <x:c r="J42" s="67" t="str">
        <x:v>Home Builder Marketing Consulting</x:v>
      </x:c>
      <x:c r="K42" s="67" t="str">
        <x:v>/home-builder-marketing-consulting/</x:v>
      </x:c>
      <x:c r="L42" s="67" t="str">
        <x:v>Assigned</x:v>
      </x:c>
      <x:c r="M42" s="67" t="str">
        <x:v>Do not build until leadership confirms a distinct offer and non-cannibalizing intent</x:v>
      </x:c>
      <x:c r="N42" s="67" t="str">
        <x:v>Backlog</x:v>
      </x:c>
      <x:c r="O42" s="67" t="str">
        <x:v>Consulting page</x:v>
      </x:c>
      <x:c r="P42" s="67" t="str">
        <x:v>Backlog</x:v>
      </x:c>
      <x:c r="Q42" s="67" t="str">
        <x:v>Live Semrush US desktop 2026-08-04</x:v>
      </x:c>
      <x:c r="R42" s="67" t="str"/>
      <x:c r="S42" s="67" t="str"/>
      <x:c r="T42" s="67" t="str"/>
      <x:c r="U42" s="67" t="str"/>
      <x:c r="V42" s="67" t="str">
        <x:v>Not tracked in the August 17 Moz export; retain the Semrush demand and difficulty decision.</x:v>
      </x:c>
      <x:c r="W42" s="67" t="str">
        <x:v>Very low difficulty consulting intent</x:v>
      </x:c>
    </x:row>
    <x:row r="43">
      <x:c r="A43" s="95" t="str">
        <x:v>39</x:v>
      </x:c>
      <x:c r="B43" s="67" t="str">
        <x:v>home builder marketing firm</x:v>
      </x:c>
      <x:c r="C43" s="67" t="str">
        <x:v>Agency category</x:v>
      </x:c>
      <x:c r="D43" s="67" t="str">
        <x:v>Commercial</x:v>
      </x:c>
      <x:c r="E43" s="67" t="str">
        <x:v>Decision</x:v>
      </x:c>
      <x:c r="F43" s="107" t="str">
        <x:v>50</x:v>
      </x:c>
      <x:c r="G43" s="113" t="str">
        <x:v>16</x:v>
      </x:c>
      <x:c r="H43" s="119" t="str">
        <x:v>0.00</x:v>
      </x:c>
      <x:c r="I43" s="67" t="str">
        <x:v>HUB-01</x:v>
      </x:c>
      <x:c r="J43" s="67" t="str">
        <x:v>Custom Home Builder Marketing That Builds Trust Before the First Call</x:v>
      </x:c>
      <x:c r="K43" s="67" t="str">
        <x:v>/marketing-agency-for-builders/</x:v>
      </x:c>
      <x:c r="L43" s="67" t="str">
        <x:v>Assigned</x:v>
      </x:c>
      <x:c r="M43" s="67" t="str">
        <x:v>Complete interview-integrated draft</x:v>
      </x:c>
      <x:c r="N43" s="67" t="str">
        <x:v>Current pilot</x:v>
      </x:c>
      <x:c r="O43" s="67" t="str">
        <x:v>Service page variation</x:v>
      </x:c>
      <x:c r="P43" s="67" t="str">
        <x:v>Map to agency page</x:v>
      </x:c>
      <x:c r="Q43" s="67" t="str">
        <x:v>Live Semrush US desktop 2026-08-04</x:v>
      </x:c>
      <x:c r="R43" s="67" t="str">
        <x:v>2026-08-14</x:v>
      </x:c>
      <x:c r="S43" s="67" t="str">
        <x:v>15</x:v>
      </x:c>
      <x:c r="T43" s="67" t="str">
        <x:v>14</x:v>
      </x:c>
      <x:c r="U43" s="67" t="str">
        <x:v>0-10</x:v>
      </x:c>
      <x:c r="V43" s="67" t="str">
        <x:v>Moz supplies current rank and landing-page evidence; Semrush remains the source for US volume, difficulty, intent, and build priority.</x:v>
      </x:c>
      <x:c r="W43" s="67" t="str">
        <x:v>Relevant commercial variation for service page language</x:v>
      </x:c>
    </x:row>
    <x:row r="44">
      <x:c r="A44" s="95" t="str">
        <x:v>40</x:v>
      </x:c>
      <x:c r="B44" s="67" t="str">
        <x:v>home builder marketing tips</x:v>
      </x:c>
      <x:c r="C44" s="67" t="str">
        <x:v>Strategy</x:v>
      </x:c>
      <x:c r="D44" s="67" t="str">
        <x:v>Informational</x:v>
      </x:c>
      <x:c r="E44" s="67" t="str">
        <x:v>Awareness</x:v>
      </x:c>
      <x:c r="F44" s="107" t="str">
        <x:v>50</x:v>
      </x:c>
      <x:c r="G44" s="113" t="str">
        <x:v>12</x:v>
      </x:c>
      <x:c r="H44" s="119" t="str">
        <x:v>0.00</x:v>
      </x:c>
      <x:c r="I44" s="67" t="str">
        <x:v>STR-01</x:v>
      </x:c>
      <x:c r="J44" s="67" t="str">
        <x:v>A Practical Home Builder Marketing Plan</x:v>
      </x:c>
      <x:c r="K44" s="67" t="str">
        <x:v>/home-builder-marketing-plan/</x:v>
      </x:c>
      <x:c r="L44" s="67" t="str">
        <x:v>Assigned</x:v>
      </x:c>
      <x:c r="M44" s="67" t="str">
        <x:v>Brief ready; production not included in current pilot</x:v>
      </x:c>
      <x:c r="N44" s="67" t="str">
        <x:v>Days 31-60 / next phase</x:v>
      </x:c>
      <x:c r="O44" s="67" t="str">
        <x:v>Supporting article</x:v>
      </x:c>
      <x:c r="P44" s="67" t="str">
        <x:v>Backlog</x:v>
      </x:c>
      <x:c r="Q44" s="67" t="str">
        <x:v>Live Semrush US desktop 2026-08-04</x:v>
      </x:c>
      <x:c r="R44" s="67" t="str"/>
      <x:c r="S44" s="67" t="str"/>
      <x:c r="T44" s="67" t="str"/>
      <x:c r="U44" s="67" t="str"/>
      <x:c r="V44" s="67" t="str">
        <x:v>Not tracked in the August 17 Moz export; retain the Semrush demand and difficulty decision.</x:v>
      </x:c>
      <x:c r="W44" s="67" t="str">
        <x:v>Easy top of funnel topic for FAQ and refresh modules</x:v>
      </x:c>
    </x:row>
    <x:row r="45">
      <x:c r="A45" s="95" t="str">
        <x:v>41</x:v>
      </x:c>
      <x:c r="B45" s="67" t="str">
        <x:v>home builder marketing plans</x:v>
      </x:c>
      <x:c r="C45" s="67" t="str">
        <x:v>Strategy</x:v>
      </x:c>
      <x:c r="D45" s="67" t="str">
        <x:v>Informational</x:v>
      </x:c>
      <x:c r="E45" s="67" t="str">
        <x:v>Awareness</x:v>
      </x:c>
      <x:c r="F45" s="107" t="str">
        <x:v>50</x:v>
      </x:c>
      <x:c r="G45" s="113" t="str">
        <x:v>8</x:v>
      </x:c>
      <x:c r="H45" s="119" t="str">
        <x:v>0.00</x:v>
      </x:c>
      <x:c r="I45" s="67" t="str">
        <x:v>STR-01</x:v>
      </x:c>
      <x:c r="J45" s="67" t="str">
        <x:v>A Practical Home Builder Marketing Plan</x:v>
      </x:c>
      <x:c r="K45" s="67" t="str">
        <x:v>/home-builder-marketing-plan/</x:v>
      </x:c>
      <x:c r="L45" s="67" t="str">
        <x:v>Assigned</x:v>
      </x:c>
      <x:c r="M45" s="67" t="str">
        <x:v>Brief ready; production not included in current pilot</x:v>
      </x:c>
      <x:c r="N45" s="67" t="str">
        <x:v>Days 31-60 / next phase</x:v>
      </x:c>
      <x:c r="O45" s="67" t="str">
        <x:v>Guide variation</x:v>
      </x:c>
      <x:c r="P45" s="67" t="str">
        <x:v>Map to plan guide</x:v>
      </x:c>
      <x:c r="Q45" s="67" t="str">
        <x:v>Live Semrush US desktop 2026-08-04</x:v>
      </x:c>
      <x:c r="R45" s="67" t="str"/>
      <x:c r="S45" s="67" t="str"/>
      <x:c r="T45" s="67" t="str"/>
      <x:c r="U45" s="67" t="str"/>
      <x:c r="V45" s="67" t="str">
        <x:v>Not tracked in the August 17 Moz export; retain the Semrush demand and difficulty decision.</x:v>
      </x:c>
      <x:c r="W45" s="67" t="str">
        <x:v>Easy plural variation for the marketing plan asset</x:v>
      </x:c>
    </x:row>
    <x:row r="46">
      <x:c r="A46" s="95" t="str">
        <x:v>42</x:v>
      </x:c>
      <x:c r="B46" s="67" t="str">
        <x:v>home builder marketing system</x:v>
      </x:c>
      <x:c r="C46" s="67" t="str">
        <x:v>Systems</x:v>
      </x:c>
      <x:c r="D46" s="67" t="str">
        <x:v>Informational</x:v>
      </x:c>
      <x:c r="E46" s="67" t="str">
        <x:v>Consideration</x:v>
      </x:c>
      <x:c r="F46" s="107" t="str">
        <x:v>50</x:v>
      </x:c>
      <x:c r="G46" s="113" t="str">
        <x:v>12</x:v>
      </x:c>
      <x:c r="H46" s="119" t="str">
        <x:v>0.00</x:v>
      </x:c>
      <x:c r="I46" s="67" t="str">
        <x:v>HUB-01</x:v>
      </x:c>
      <x:c r="J46" s="67" t="str">
        <x:v>Custom Home Builder Marketing That Builds Trust Before the First Call</x:v>
      </x:c>
      <x:c r="K46" s="67" t="str">
        <x:v>/marketing-agency-for-builders/</x:v>
      </x:c>
      <x:c r="L46" s="67" t="str">
        <x:v>Assigned</x:v>
      </x:c>
      <x:c r="M46" s="67" t="str">
        <x:v>Complete interview-integrated draft</x:v>
      </x:c>
      <x:c r="N46" s="67" t="str">
        <x:v>Current pilot</x:v>
      </x:c>
      <x:c r="O46" s="67" t="str">
        <x:v>Framework guide</x:v>
      </x:c>
      <x:c r="P46" s="67" t="str">
        <x:v>Backlog</x:v>
      </x:c>
      <x:c r="Q46" s="67" t="str">
        <x:v>Live Semrush US desktop 2026-08-04</x:v>
      </x:c>
      <x:c r="R46" s="67" t="str"/>
      <x:c r="S46" s="67" t="str"/>
      <x:c r="T46" s="67" t="str"/>
      <x:c r="U46" s="67" t="str"/>
      <x:c r="V46" s="67" t="str">
        <x:v>Not tracked in the August 17 Moz export; retain the Semrush demand and difficulty decision.</x:v>
      </x:c>
      <x:c r="W46" s="67" t="str">
        <x:v>Supports a distinctive BigOrange operating model</x:v>
      </x:c>
    </x:row>
    <x:row r="47">
      <x:c r="A47" s="95" t="str">
        <x:v>43</x:v>
      </x:c>
      <x:c r="B47" s="67" t="str">
        <x:v>online home builder marketing</x:v>
      </x:c>
      <x:c r="C47" s="67" t="str">
        <x:v>Digital strategy</x:v>
      </x:c>
      <x:c r="D47" s="67" t="str">
        <x:v>Informational</x:v>
      </x:c>
      <x:c r="E47" s="67" t="str">
        <x:v>Consideration</x:v>
      </x:c>
      <x:c r="F47" s="107" t="str">
        <x:v>50</x:v>
      </x:c>
      <x:c r="G47" s="113" t="str">
        <x:v>22</x:v>
      </x:c>
      <x:c r="H47" s="119" t="str">
        <x:v>0.00</x:v>
      </x:c>
      <x:c r="I47" s="67" t="str">
        <x:v>HUB-01</x:v>
      </x:c>
      <x:c r="J47" s="67" t="str">
        <x:v>Custom Home Builder Marketing That Builds Trust Before the First Call</x:v>
      </x:c>
      <x:c r="K47" s="67" t="str">
        <x:v>/marketing-agency-for-builders/</x:v>
      </x:c>
      <x:c r="L47" s="67" t="str">
        <x:v>Assigned</x:v>
      </x:c>
      <x:c r="M47" s="67" t="str">
        <x:v>Complete interview-integrated draft</x:v>
      </x:c>
      <x:c r="N47" s="67" t="str">
        <x:v>Current pilot</x:v>
      </x:c>
      <x:c r="O47" s="67" t="str">
        <x:v>Supporting article</x:v>
      </x:c>
      <x:c r="P47" s="67" t="str">
        <x:v>Backlog</x:v>
      </x:c>
      <x:c r="Q47" s="67" t="str">
        <x:v>Live Semrush US desktop 2026-08-04</x:v>
      </x:c>
      <x:c r="R47" s="67" t="str"/>
      <x:c r="S47" s="67" t="str"/>
      <x:c r="T47" s="67" t="str"/>
      <x:c r="U47" s="67" t="str"/>
      <x:c r="V47" s="67" t="str">
        <x:v>Not tracked in the August 17 Moz export; retain the Semrush demand and difficulty decision.</x:v>
      </x:c>
      <x:c r="W47" s="67" t="str">
        <x:v>Relevant older phrasing with moderate difficulty</x:v>
      </x:c>
    </x:row>
    <x:row r="48">
      <x:c r="A48" s="95" t="str">
        <x:v>44</x:v>
      </x:c>
      <x:c r="B48" s="67" t="str">
        <x:v>home builder website templates</x:v>
      </x:c>
      <x:c r="C48" s="67" t="str">
        <x:v>Website conversion</x:v>
      </x:c>
      <x:c r="D48" s="67" t="str">
        <x:v>Commercial</x:v>
      </x:c>
      <x:c r="E48" s="67" t="str">
        <x:v>Consideration</x:v>
      </x:c>
      <x:c r="F48" s="107" t="str">
        <x:v>70</x:v>
      </x:c>
      <x:c r="G48" s="113" t="str">
        <x:v>16</x:v>
      </x:c>
      <x:c r="H48" s="119" t="str">
        <x:v>5.61</x:v>
      </x:c>
      <x:c r="I48" s="67" t="str">
        <x:v>TPL-01</x:v>
      </x:c>
      <x:c r="J48" s="67" t="str">
        <x:v>Home Builder Website Templates and Platforms: What to Evaluate</x:v>
      </x:c>
      <x:c r="K48" s="67" t="str">
        <x:v>/home-builder-website-templates/</x:v>
      </x:c>
      <x:c r="L48" s="67" t="str">
        <x:v>Assigned</x:v>
      </x:c>
      <x:c r="M48" s="67" t="str">
        <x:v>Brief ready; production not included in current pilot</x:v>
      </x:c>
      <x:c r="N48" s="67" t="str">
        <x:v>Backlog / after authority foundation</x:v>
      </x:c>
      <x:c r="O48" s="67" t="str">
        <x:v>Template evaluation guide</x:v>
      </x:c>
      <x:c r="P48" s="67" t="str">
        <x:v>Build in first 90 days</x:v>
      </x:c>
      <x:c r="Q48" s="67" t="str">
        <x:v>Live Semrush US desktop 2026-08-04</x:v>
      </x:c>
      <x:c r="R48" s="67" t="str"/>
      <x:c r="S48" s="67" t="str"/>
      <x:c r="T48" s="67" t="str"/>
      <x:c r="U48" s="67" t="str"/>
      <x:c r="V48" s="67" t="str">
        <x:v>Not tracked in the August 17 Moz export; retain the Semrush demand and difficulty decision.</x:v>
      </x:c>
      <x:c r="W48" s="67" t="str">
        <x:v>Commercial research term with strong CPC and website strategy fit</x:v>
      </x:c>
    </x:row>
    <x:row r="49">
      <x:c r="A49" s="95" t="str">
        <x:v>45</x:v>
      </x:c>
      <x:c r="B49" s="67" t="str">
        <x:v>home builder website template</x:v>
      </x:c>
      <x:c r="C49" s="67" t="str">
        <x:v>Website conversion</x:v>
      </x:c>
      <x:c r="D49" s="67" t="str">
        <x:v>Commercial</x:v>
      </x:c>
      <x:c r="E49" s="67" t="str">
        <x:v>Consideration</x:v>
      </x:c>
      <x:c r="F49" s="107" t="str">
        <x:v>50</x:v>
      </x:c>
      <x:c r="G49" s="113" t="str">
        <x:v>5</x:v>
      </x:c>
      <x:c r="H49" s="119" t="str">
        <x:v>5.61</x:v>
      </x:c>
      <x:c r="I49" s="67" t="str">
        <x:v>TPL-01</x:v>
      </x:c>
      <x:c r="J49" s="67" t="str">
        <x:v>Home Builder Website Templates and Platforms: What to Evaluate</x:v>
      </x:c>
      <x:c r="K49" s="67" t="str">
        <x:v>/home-builder-website-templates/</x:v>
      </x:c>
      <x:c r="L49" s="67" t="str">
        <x:v>Assigned</x:v>
      </x:c>
      <x:c r="M49" s="67" t="str">
        <x:v>Brief ready; production not included in current pilot</x:v>
      </x:c>
      <x:c r="N49" s="67" t="str">
        <x:v>Backlog / after authority foundation</x:v>
      </x:c>
      <x:c r="O49" s="67" t="str">
        <x:v>Template evaluation guide</x:v>
      </x:c>
      <x:c r="P49" s="67" t="str">
        <x:v>Map to template guide</x:v>
      </x:c>
      <x:c r="Q49" s="67" t="str">
        <x:v>Live Semrush US desktop 2026-08-04</x:v>
      </x:c>
      <x:c r="R49" s="67" t="str"/>
      <x:c r="S49" s="67" t="str"/>
      <x:c r="T49" s="67" t="str"/>
      <x:c r="U49" s="67" t="str"/>
      <x:c r="V49" s="67" t="str">
        <x:v>Not tracked in the August 17 Moz export; retain the Semrush demand and difficulty decision.</x:v>
      </x:c>
      <x:c r="W49" s="67" t="str">
        <x:v>Very low difficulty singular variation with commercial value</x:v>
      </x:c>
    </x:row>
    <x:row r="50">
      <x:c r="A50" s="95" t="str">
        <x:v>46</x:v>
      </x:c>
      <x:c r="B50" s="67" t="str">
        <x:v>home building website templates</x:v>
      </x:c>
      <x:c r="C50" s="67" t="str">
        <x:v>Website conversion</x:v>
      </x:c>
      <x:c r="D50" s="67" t="str">
        <x:v>Commercial</x:v>
      </x:c>
      <x:c r="E50" s="67" t="str">
        <x:v>Consideration</x:v>
      </x:c>
      <x:c r="F50" s="107" t="str">
        <x:v>30</x:v>
      </x:c>
      <x:c r="G50" s="113" t="str">
        <x:v>11</x:v>
      </x:c>
      <x:c r="H50" s="119" t="str">
        <x:v>8.92</x:v>
      </x:c>
      <x:c r="I50" s="67" t="str">
        <x:v>TPL-01</x:v>
      </x:c>
      <x:c r="J50" s="67" t="str">
        <x:v>Home Builder Website Templates and Platforms: What to Evaluate</x:v>
      </x:c>
      <x:c r="K50" s="67" t="str">
        <x:v>/home-builder-website-templates/</x:v>
      </x:c>
      <x:c r="L50" s="67" t="str">
        <x:v>Assigned</x:v>
      </x:c>
      <x:c r="M50" s="67" t="str">
        <x:v>Brief ready; production not included in current pilot</x:v>
      </x:c>
      <x:c r="N50" s="67" t="str">
        <x:v>Backlog / after authority foundation</x:v>
      </x:c>
      <x:c r="O50" s="67" t="str">
        <x:v>Template guide variation</x:v>
      </x:c>
      <x:c r="P50" s="67" t="str">
        <x:v>Map to template guide</x:v>
      </x:c>
      <x:c r="Q50" s="67" t="str">
        <x:v>Live Semrush US desktop 2026-08-04</x:v>
      </x:c>
      <x:c r="R50" s="67" t="str"/>
      <x:c r="S50" s="67" t="str"/>
      <x:c r="T50" s="67" t="str"/>
      <x:c r="U50" s="67" t="str"/>
      <x:c r="V50" s="67" t="str">
        <x:v>Not tracked in the August 17 Moz export; retain the Semrush demand and difficulty decision.</x:v>
      </x:c>
      <x:c r="W50" s="67" t="str">
        <x:v>Easy close variation with high CPC</x:v>
      </x:c>
    </x:row>
    <x:row r="51">
      <x:c r="A51" s="95" t="str">
        <x:v>47</x:v>
      </x:c>
      <x:c r="B51" s="67" t="str">
        <x:v>website builder for home builder</x:v>
      </x:c>
      <x:c r="C51" s="67" t="str">
        <x:v>Website conversion</x:v>
      </x:c>
      <x:c r="D51" s="67" t="str">
        <x:v>Informational</x:v>
      </x:c>
      <x:c r="E51" s="67" t="str">
        <x:v>Consideration</x:v>
      </x:c>
      <x:c r="F51" s="107" t="str">
        <x:v>50</x:v>
      </x:c>
      <x:c r="G51" s="113" t="str">
        <x:v>17</x:v>
      </x:c>
      <x:c r="H51" s="119" t="str">
        <x:v>0.00</x:v>
      </x:c>
      <x:c r="I51" s="67" t="str">
        <x:v>TPL-01</x:v>
      </x:c>
      <x:c r="J51" s="67" t="str">
        <x:v>Home Builder Website Templates and Platforms: What to Evaluate</x:v>
      </x:c>
      <x:c r="K51" s="67" t="str">
        <x:v>/home-builder-website-templates/</x:v>
      </x:c>
      <x:c r="L51" s="67" t="str">
        <x:v>Assigned</x:v>
      </x:c>
      <x:c r="M51" s="67" t="str">
        <x:v>Brief ready; production not included in current pilot</x:v>
      </x:c>
      <x:c r="N51" s="67" t="str">
        <x:v>Backlog / after authority foundation</x:v>
      </x:c>
      <x:c r="O51" s="67" t="str">
        <x:v>Platform evaluation article</x:v>
      </x:c>
      <x:c r="P51" s="67" t="str">
        <x:v>Backlog</x:v>
      </x:c>
      <x:c r="Q51" s="67" t="str">
        <x:v>Live Semrush US desktop 2026-08-04</x:v>
      </x:c>
      <x:c r="R51" s="67" t="str"/>
      <x:c r="S51" s="67" t="str"/>
      <x:c r="T51" s="67" t="str"/>
      <x:c r="U51" s="67" t="str"/>
      <x:c r="V51" s="67" t="str">
        <x:v>Not tracked in the August 17 Moz export; retain the Semrush demand and difficulty decision.</x:v>
      </x:c>
      <x:c r="W51" s="67" t="str">
        <x:v>Platform evaluation phrasing relevant to website buyers</x:v>
      </x:c>
    </x:row>
    <x:row r="52">
      <x:c r="A52" s="95" t="str">
        <x:v>48</x:v>
      </x:c>
      <x:c r="B52" s="67" t="str">
        <x:v>home builder website developer</x:v>
      </x:c>
      <x:c r="C52" s="67" t="str">
        <x:v>Website conversion</x:v>
      </x:c>
      <x:c r="D52" s="67" t="str">
        <x:v>Informational</x:v>
      </x:c>
      <x:c r="E52" s="67" t="str">
        <x:v>Decision</x:v>
      </x:c>
      <x:c r="F52" s="107" t="str">
        <x:v>140</x:v>
      </x:c>
      <x:c r="G52" s="113" t="str">
        <x:v>22</x:v>
      </x:c>
      <x:c r="H52" s="119" t="str">
        <x:v>0.00</x:v>
      </x:c>
      <x:c r="I52" s="67" t="str">
        <x:v>WEB-01</x:v>
      </x:c>
      <x:c r="J52" s="67" t="str">
        <x:v>Home Builder Website Design, Proof, and Conversion</x:v>
      </x:c>
      <x:c r="K52" s="67" t="str">
        <x:v>/home-builder-website-design/</x:v>
      </x:c>
      <x:c r="L52" s="67" t="str">
        <x:v>Assigned</x:v>
      </x:c>
      <x:c r="M52" s="67" t="str">
        <x:v>Brief ready; production not included in current pilot</x:v>
      </x:c>
      <x:c r="N52" s="67" t="str">
        <x:v>Days 31-60 / next phase</x:v>
      </x:c>
      <x:c r="O52" s="67" t="str">
        <x:v>Service page variation</x:v>
      </x:c>
      <x:c r="P52" s="67" t="str">
        <x:v>Build in first 90 days</x:v>
      </x:c>
      <x:c r="Q52" s="67" t="str">
        <x:v>Live Semrush US desktop 2026-08-04</x:v>
      </x:c>
      <x:c r="R52" s="67" t="str"/>
      <x:c r="S52" s="67" t="str"/>
      <x:c r="T52" s="67" t="str"/>
      <x:c r="U52" s="67" t="str"/>
      <x:c r="V52" s="67" t="str">
        <x:v>Not tracked in the August 17 Moz export; retain the Semrush demand and difficulty decision.</x:v>
      </x:c>
      <x:c r="W52" s="67" t="str">
        <x:v>Meaningful service demand and direct fit for development capability</x:v>
      </x:c>
    </x:row>
    <x:row r="53">
      <x:c r="A53" s="95" t="str">
        <x:v>49</x:v>
      </x:c>
      <x:c r="B53" s="67" t="str">
        <x:v>custom home builder website classification criteria</x:v>
      </x:c>
      <x:c r="C53" s="67" t="str">
        <x:v>Website strategy</x:v>
      </x:c>
      <x:c r="D53" s="67" t="str">
        <x:v>Informational</x:v>
      </x:c>
      <x:c r="E53" s="67" t="str">
        <x:v>Awareness</x:v>
      </x:c>
      <x:c r="F53" s="107" t="str">
        <x:v>40</x:v>
      </x:c>
      <x:c r="G53" s="113" t="str">
        <x:v>7</x:v>
      </x:c>
      <x:c r="H53" s="119" t="str">
        <x:v>0.00</x:v>
      </x:c>
      <x:c r="I53" s="67" t="str">
        <x:v>GAL-01</x:v>
      </x:c>
      <x:c r="J53" s="67" t="str">
        <x:v>Best Home Builder Websites: Examples and Evaluation Criteria</x:v>
      </x:c>
      <x:c r="K53" s="67" t="str">
        <x:v>/best-home-builder-websites/</x:v>
      </x:c>
      <x:c r="L53" s="67" t="str">
        <x:v>Assigned</x:v>
      </x:c>
      <x:c r="M53" s="67" t="str">
        <x:v>Brief ready; production not included in current pilot</x:v>
      </x:c>
      <x:c r="N53" s="67" t="str">
        <x:v>Days 61-90 / next phase</x:v>
      </x:c>
      <x:c r="O53" s="67" t="str">
        <x:v>Evaluation framework</x:v>
      </x:c>
      <x:c r="P53" s="67" t="str">
        <x:v>Validate SERP before build</x:v>
      </x:c>
      <x:c r="Q53" s="67" t="str">
        <x:v>Live Semrush US desktop 2026-08-04</x:v>
      </x:c>
      <x:c r="R53" s="67" t="str"/>
      <x:c r="S53" s="67" t="str"/>
      <x:c r="T53" s="67" t="str"/>
      <x:c r="U53" s="67" t="str"/>
      <x:c r="V53" s="67" t="str">
        <x:v>Not tracked in the August 17 Moz export; retain the Semrush demand and difficulty decision.</x:v>
      </x:c>
      <x:c r="W53" s="67" t="str">
        <x:v>Unusual but easy criteria query suited to an original scoring framework</x:v>
      </x:c>
    </x:row>
    <x:row r="54">
      <x:c r="A54" s="95" t="str">
        <x:v>50</x:v>
      </x:c>
      <x:c r="B54" s="67" t="str">
        <x:v>recommended phrases for home builder website SEO</x:v>
      </x:c>
      <x:c r="C54" s="67" t="str">
        <x:v>SEO and visibility</x:v>
      </x:c>
      <x:c r="D54" s="67" t="str">
        <x:v>Informational</x:v>
      </x:c>
      <x:c r="E54" s="67" t="str">
        <x:v>Awareness</x:v>
      </x:c>
      <x:c r="F54" s="107" t="str">
        <x:v>40</x:v>
      </x:c>
      <x:c r="G54" s="113" t="str">
        <x:v>0</x:v>
      </x:c>
      <x:c r="H54" s="119" t="str">
        <x:v>0.00</x:v>
      </x:c>
      <x:c r="I54" s="67" t="str">
        <x:v>SEOCHK-01</x:v>
      </x:c>
      <x:c r="J54" s="67" t="str">
        <x:v>Recommended Phrases and Page Elements for Home Builder Website SEO</x:v>
      </x:c>
      <x:c r="K54" s="67" t="str">
        <x:v>/home-builder-website-seo-checklist/</x:v>
      </x:c>
      <x:c r="L54" s="67" t="str">
        <x:v>Assigned</x:v>
      </x:c>
      <x:c r="M54" s="67" t="str">
        <x:v>Brief ready; production not included in current pilot</x:v>
      </x:c>
      <x:c r="N54" s="67" t="str">
        <x:v>Days 31-60 / next phase</x:v>
      </x:c>
      <x:c r="O54" s="67" t="str">
        <x:v>SEO checklist</x:v>
      </x:c>
      <x:c r="P54" s="67" t="str">
        <x:v>Build now</x:v>
      </x:c>
      <x:c r="Q54" s="67" t="str">
        <x:v>Live Semrush US desktop 2026-08-04</x:v>
      </x:c>
      <x:c r="R54" s="67" t="str"/>
      <x:c r="S54" s="67" t="str"/>
      <x:c r="T54" s="67" t="str"/>
      <x:c r="U54" s="67" t="str"/>
      <x:c r="V54" s="67" t="str">
        <x:v>Not tracked in the August 17 Moz export; retain the Semrush demand and difficulty decision.</x:v>
      </x:c>
      <x:c r="W54" s="67" t="str">
        <x:v>Zero reported difficulty and natural downloadable checklist topic</x:v>
      </x:c>
    </x:row>
    <x:row r="55">
      <x:c r="A55" s="95" t="str">
        <x:v>51</x:v>
      </x:c>
      <x:c r="B55" s="67" t="str">
        <x:v>home builder sales and marketing</x:v>
      </x:c>
      <x:c r="C55" s="67" t="str">
        <x:v>Sales alignment</x:v>
      </x:c>
      <x:c r="D55" s="67" t="str">
        <x:v>Transactional</x:v>
      </x:c>
      <x:c r="E55" s="67" t="str">
        <x:v>Consideration</x:v>
      </x:c>
      <x:c r="F55" s="107" t="str">
        <x:v>70</x:v>
      </x:c>
      <x:c r="G55" s="113" t="str">
        <x:v>15</x:v>
      </x:c>
      <x:c r="H55" s="119" t="str">
        <x:v>0.00</x:v>
      </x:c>
      <x:c r="I55" s="67" t="str">
        <x:v>LEAD-01</x:v>
      </x:c>
      <x:c r="J55" s="67" t="str">
        <x:v>Home Builder Lead Generation and Follow-Up</x:v>
      </x:c>
      <x:c r="K55" s="67" t="str">
        <x:v>/home-builder-lead-generation/</x:v>
      </x:c>
      <x:c r="L55" s="67" t="str">
        <x:v>Assigned</x:v>
      </x:c>
      <x:c r="M55" s="67" t="str">
        <x:v>Brief ready; production not included in current pilot</x:v>
      </x:c>
      <x:c r="N55" s="67" t="str">
        <x:v>Days 61-90 / next phase</x:v>
      </x:c>
      <x:c r="O55" s="67" t="str">
        <x:v>Sales and marketing alignment guide</x:v>
      </x:c>
      <x:c r="P55" s="67" t="str">
        <x:v>Build in first 90 days</x:v>
      </x:c>
      <x:c r="Q55" s="67" t="str">
        <x:v>Live Semrush US desktop 2026-08-04</x:v>
      </x:c>
      <x:c r="R55" s="67" t="str"/>
      <x:c r="S55" s="67" t="str"/>
      <x:c r="T55" s="67" t="str"/>
      <x:c r="U55" s="67" t="str"/>
      <x:c r="V55" s="67" t="str">
        <x:v>Not tracked in the August 17 Moz export; retain the Semrush demand and difficulty decision.</x:v>
      </x:c>
      <x:c r="W55" s="67" t="str">
        <x:v>Bridges marketing execution to the real sales process</x:v>
      </x:c>
    </x:row>
    <x:row r="56">
      <x:c r="A56" s="95" t="str">
        <x:v>52</x:v>
      </x:c>
      <x:c r="B56" s="67" t="str">
        <x:v>home builder marketing strategy</x:v>
      </x:c>
      <x:c r="C56" s="67" t="str">
        <x:v>Strategy</x:v>
      </x:c>
      <x:c r="D56" s="67" t="str">
        <x:v>Informational</x:v>
      </x:c>
      <x:c r="E56" s="67" t="str">
        <x:v>Consideration</x:v>
      </x:c>
      <x:c r="F56" s="107" t="str">
        <x:v>170</x:v>
      </x:c>
      <x:c r="G56" s="113" t="str">
        <x:v>17</x:v>
      </x:c>
      <x:c r="H56" s="119" t="str">
        <x:v>0.00</x:v>
      </x:c>
      <x:c r="I56" s="67" t="str">
        <x:v>STR-01</x:v>
      </x:c>
      <x:c r="J56" s="67" t="str">
        <x:v>A Practical Home Builder Marketing Plan</x:v>
      </x:c>
      <x:c r="K56" s="67" t="str">
        <x:v>/home-builder-marketing-plan/</x:v>
      </x:c>
      <x:c r="L56" s="67" t="str">
        <x:v>Assigned</x:v>
      </x:c>
      <x:c r="M56" s="67" t="str">
        <x:v>Brief ready; production not included in current pilot</x:v>
      </x:c>
      <x:c r="N56" s="67" t="str">
        <x:v>Days 31-60 / next phase</x:v>
      </x:c>
      <x:c r="O56" s="67" t="str">
        <x:v>Strategy guide</x:v>
      </x:c>
      <x:c r="P56" s="67" t="str">
        <x:v>Map to strategy guide</x:v>
      </x:c>
      <x:c r="Q56" s="67" t="str">
        <x:v>Live Semrush US desktop 2026-08-04</x:v>
      </x:c>
      <x:c r="R56" s="67" t="str"/>
      <x:c r="S56" s="67" t="str"/>
      <x:c r="T56" s="67" t="str"/>
      <x:c r="U56" s="67" t="str"/>
      <x:c r="V56" s="67" t="str">
        <x:v>Not tracked in the August 17 Moz export; retain the Semrush demand and difficulty decision.</x:v>
      </x:c>
      <x:c r="W56" s="67" t="str">
        <x:v>Relevant singular variation for the strategy cluster</x:v>
      </x:c>
    </x:row>
    <x:row r="57">
      <x:c r="A57" s="95" t="str">
        <x:v>53</x:v>
      </x:c>
      <x:c r="B57" s="67" t="str">
        <x:v>home builder marketing strategies</x:v>
      </x:c>
      <x:c r="C57" s="67" t="str">
        <x:v>Strategy</x:v>
      </x:c>
      <x:c r="D57" s="67" t="str">
        <x:v>Informational</x:v>
      </x:c>
      <x:c r="E57" s="67" t="str">
        <x:v>Consideration</x:v>
      </x:c>
      <x:c r="F57" s="107" t="str">
        <x:v>170</x:v>
      </x:c>
      <x:c r="G57" s="113" t="str">
        <x:v>23</x:v>
      </x:c>
      <x:c r="H57" s="119" t="str">
        <x:v>0.00</x:v>
      </x:c>
      <x:c r="I57" s="67" t="str">
        <x:v>STR-01</x:v>
      </x:c>
      <x:c r="J57" s="67" t="str">
        <x:v>A Practical Home Builder Marketing Plan</x:v>
      </x:c>
      <x:c r="K57" s="67" t="str">
        <x:v>/home-builder-marketing-plan/</x:v>
      </x:c>
      <x:c r="L57" s="67" t="str">
        <x:v>Assigned</x:v>
      </x:c>
      <x:c r="M57" s="67" t="str">
        <x:v>Brief ready; production not included in current pilot</x:v>
      </x:c>
      <x:c r="N57" s="67" t="str">
        <x:v>Days 31-60 / next phase</x:v>
      </x:c>
      <x:c r="O57" s="67" t="str">
        <x:v>Strategy guide</x:v>
      </x:c>
      <x:c r="P57" s="67" t="str">
        <x:v>Map to strategy guide</x:v>
      </x:c>
      <x:c r="Q57" s="67" t="str">
        <x:v>Live Semrush US desktop 2026-08-04</x:v>
      </x:c>
      <x:c r="R57" s="67" t="str"/>
      <x:c r="S57" s="67" t="str"/>
      <x:c r="T57" s="67" t="str"/>
      <x:c r="U57" s="67" t="str"/>
      <x:c r="V57" s="67" t="str">
        <x:v>Not tracked in the August 17 Moz export; retain the Semrush demand and difficulty decision.</x:v>
      </x:c>
      <x:c r="W57" s="67" t="str">
        <x:v>Relevant plural variation with meaningful demand</x:v>
      </x:c>
    </x:row>
    <x:row r="58">
      <x:c r="A58" s="95" t="str">
        <x:v>54</x:v>
      </x:c>
      <x:c r="B58" s="67" t="str">
        <x:v>home builder marketing companies</x:v>
      </x:c>
      <x:c r="C58" s="67" t="str">
        <x:v>Agency category</x:v>
      </x:c>
      <x:c r="D58" s="67" t="str">
        <x:v>Informational</x:v>
      </x:c>
      <x:c r="E58" s="67" t="str">
        <x:v>Decision</x:v>
      </x:c>
      <x:c r="F58" s="107" t="str">
        <x:v>140</x:v>
      </x:c>
      <x:c r="G58" s="113" t="str">
        <x:v>8</x:v>
      </x:c>
      <x:c r="H58" s="119" t="str">
        <x:v>14.11</x:v>
      </x:c>
      <x:c r="I58" s="67" t="str">
        <x:v>HUB-01</x:v>
      </x:c>
      <x:c r="J58" s="67" t="str">
        <x:v>Custom Home Builder Marketing That Builds Trust Before the First Call</x:v>
      </x:c>
      <x:c r="K58" s="67" t="str">
        <x:v>/marketing-agency-for-builders/</x:v>
      </x:c>
      <x:c r="L58" s="67" t="str">
        <x:v>Assigned</x:v>
      </x:c>
      <x:c r="M58" s="67" t="str">
        <x:v>Complete interview-integrated draft</x:v>
      </x:c>
      <x:c r="N58" s="67" t="str">
        <x:v>Current pilot</x:v>
      </x:c>
      <x:c r="O58" s="67" t="str">
        <x:v>Comparison page</x:v>
      </x:c>
      <x:c r="P58" s="67" t="str">
        <x:v>Build after proof assets</x:v>
      </x:c>
      <x:c r="Q58" s="67" t="str">
        <x:v>Live Semrush US desktop 2026-08-04</x:v>
      </x:c>
      <x:c r="R58" s="67" t="str"/>
      <x:c r="S58" s="67" t="str"/>
      <x:c r="T58" s="67" t="str"/>
      <x:c r="U58" s="67" t="str"/>
      <x:c r="V58" s="67" t="str">
        <x:v>Not tracked in the August 17 Moz export; retain the Semrush demand and difficulty decision.</x:v>
      </x:c>
      <x:c r="W58" s="67" t="str">
        <x:v>Very easy high CPC agency comparison variation</x:v>
      </x:c>
    </x:row>
    <x:row r="59">
      <x:c r="A59" s="95" t="str">
        <x:v>55</x:v>
      </x:c>
      <x:c r="B59" s="67" t="str">
        <x:v>digital home builder marketing agency</x:v>
      </x:c>
      <x:c r="C59" s="67" t="str">
        <x:v>Agency category</x:v>
      </x:c>
      <x:c r="D59" s="67" t="str">
        <x:v>Informational</x:v>
      </x:c>
      <x:c r="E59" s="67" t="str">
        <x:v>Decision</x:v>
      </x:c>
      <x:c r="F59" s="107" t="str">
        <x:v>110</x:v>
      </x:c>
      <x:c r="G59" s="113" t="str">
        <x:v>10</x:v>
      </x:c>
      <x:c r="H59" s="119" t="str">
        <x:v>14.11</x:v>
      </x:c>
      <x:c r="I59" s="67" t="str">
        <x:v>HUB-01</x:v>
      </x:c>
      <x:c r="J59" s="67" t="str">
        <x:v>Custom Home Builder Marketing That Builds Trust Before the First Call</x:v>
      </x:c>
      <x:c r="K59" s="67" t="str">
        <x:v>/marketing-agency-for-builders/</x:v>
      </x:c>
      <x:c r="L59" s="67" t="str">
        <x:v>Assigned</x:v>
      </x:c>
      <x:c r="M59" s="67" t="str">
        <x:v>Complete interview-integrated draft</x:v>
      </x:c>
      <x:c r="N59" s="67" t="str">
        <x:v>Current pilot</x:v>
      </x:c>
      <x:c r="O59" s="67" t="str">
        <x:v>Service page variation</x:v>
      </x:c>
      <x:c r="P59" s="67" t="str">
        <x:v>Map to agency page</x:v>
      </x:c>
      <x:c r="Q59" s="67" t="str">
        <x:v>Live Semrush US desktop 2026-08-04</x:v>
      </x:c>
      <x:c r="R59" s="67" t="str">
        <x:v>2026-08-14</x:v>
      </x:c>
      <x:c r="S59" s="67" t="str">
        <x:v>1</x:v>
      </x:c>
      <x:c r="T59" s="67" t="str">
        <x:v>3</x:v>
      </x:c>
      <x:c r="U59" s="67" t="str">
        <x:v>51-100</x:v>
      </x:c>
      <x:c r="V59" s="67" t="str">
        <x:v>Moz supplies current rank and landing-page evidence; Semrush remains the source for US volume, difficulty, intent, and build priority.</x:v>
      </x:c>
      <x:c r="W59" s="67" t="str">
        <x:v>Very easy high CPC phrase for service page coverage</x:v>
      </x:c>
    </x:row>
    <x:row r="60">
      <x:c r="A60" s="95" t="str">
        <x:v>56</x:v>
      </x:c>
      <x:c r="B60" s="67" t="str">
        <x:v>home builder market research</x:v>
      </x:c>
      <x:c r="C60" s="67" t="str">
        <x:v>Research</x:v>
      </x:c>
      <x:c r="D60" s="67" t="str">
        <x:v>Informational</x:v>
      </x:c>
      <x:c r="E60" s="67" t="str">
        <x:v>Awareness</x:v>
      </x:c>
      <x:c r="F60" s="107" t="str">
        <x:v>40</x:v>
      </x:c>
      <x:c r="G60" s="113" t="str">
        <x:v>18</x:v>
      </x:c>
      <x:c r="H60" s="119" t="str">
        <x:v>0.00</x:v>
      </x:c>
      <x:c r="I60" s="67" t="str">
        <x:v>MKTRES-01</x:v>
      </x:c>
      <x:c r="J60" s="67" t="str">
        <x:v>Home Builder Market Research: A Practical Framework</x:v>
      </x:c>
      <x:c r="K60" s="67" t="str">
        <x:v>/home-builder-market-research/</x:v>
      </x:c>
      <x:c r="L60" s="67" t="str">
        <x:v>Assigned</x:v>
      </x:c>
      <x:c r="M60" s="67" t="str">
        <x:v>Validate intent and methodology before production</x:v>
      </x:c>
      <x:c r="N60" s="67" t="str">
        <x:v>Quarter 2 or 3 after proof assets</x:v>
      </x:c>
      <x:c r="O60" s="67" t="str">
        <x:v>Market research framework</x:v>
      </x:c>
      <x:c r="P60" s="67" t="str">
        <x:v>Validate SERP before build</x:v>
      </x:c>
      <x:c r="Q60" s="67" t="str">
        <x:v>Live Semrush US desktop 2026-08-04</x:v>
      </x:c>
      <x:c r="R60" s="67" t="str"/>
      <x:c r="S60" s="67" t="str"/>
      <x:c r="T60" s="67" t="str"/>
      <x:c r="U60" s="67" t="str"/>
      <x:c r="V60" s="67" t="str">
        <x:v>Not tracked in the August 17 Moz export; retain the Semrush demand and difficulty decision.</x:v>
      </x:c>
      <x:c r="W60" s="67" t="str">
        <x:v>Potential thought leadership angle but requires careful industry versus marketing intent review</x:v>
      </x:c>
    </x:row>
    <x:row r="61">
      <x:c r="A61" s="95" t="str">
        <x:v>57</x:v>
      </x:c>
      <x:c r="B61" s="67" t="str">
        <x:v>content marketing for home builders</x:v>
      </x:c>
      <x:c r="C61" s="67" t="str">
        <x:v>Content</x:v>
      </x:c>
      <x:c r="D61" s="67" t="str">
        <x:v>Unclassified</x:v>
      </x:c>
      <x:c r="E61" s="67" t="str">
        <x:v>Consideration</x:v>
      </x:c>
      <x:c r="F61" s="107" t="str">
        <x:v>10</x:v>
      </x:c>
      <x:c r="G61" s="113" t="str">
        <x:v>Not available</x:v>
      </x:c>
      <x:c r="H61" s="119" t="str">
        <x:v>0.00</x:v>
      </x:c>
      <x:c r="I61" s="67" t="str">
        <x:v>CNT-01</x:v>
      </x:c>
      <x:c r="J61" s="67" t="str">
        <x:v>Home Builder Content Marketing That Answers Real Buyer Questions</x:v>
      </x:c>
      <x:c r="K61" s="67" t="str">
        <x:v>/home-builder-content-marketing/</x:v>
      </x:c>
      <x:c r="L61" s="67" t="str">
        <x:v>Assigned</x:v>
      </x:c>
      <x:c r="M61" s="67" t="str">
        <x:v>Brief ready; production not included in current pilot</x:v>
      </x:c>
      <x:c r="N61" s="67" t="str">
        <x:v>Days 31-60 / next phase</x:v>
      </x:c>
      <x:c r="O61" s="67" t="str">
        <x:v>Subpillar variation</x:v>
      </x:c>
      <x:c r="P61" s="67" t="str">
        <x:v>Map to content subpillar</x:v>
      </x:c>
      <x:c r="Q61" s="67" t="str">
        <x:v>Semrush volume current but KD refresh unavailable 2026-08-04</x:v>
      </x:c>
      <x:c r="R61" s="67" t="str"/>
      <x:c r="S61" s="67" t="str"/>
      <x:c r="T61" s="67" t="str"/>
      <x:c r="U61" s="67" t="str"/>
      <x:c r="V61" s="67" t="str">
        <x:v>Not tracked in the August 17 Moz export; retain the Semrush demand and difficulty decision.</x:v>
      </x:c>
      <x:c r="W61" s="67" t="str">
        <x:v>Exact category variation retained for semantic coverage</x:v>
      </x:c>
    </x:row>
    <x:row r="62">
      <x:c r="A62" s="95" t="str">
        <x:v>58</x:v>
      </x:c>
      <x:c r="B62" s="67" t="str">
        <x:v>home builder blog</x:v>
      </x:c>
      <x:c r="C62" s="67" t="str">
        <x:v>Content</x:v>
      </x:c>
      <x:c r="D62" s="67" t="str">
        <x:v>Unclassified</x:v>
      </x:c>
      <x:c r="E62" s="67" t="str">
        <x:v>Awareness</x:v>
      </x:c>
      <x:c r="F62" s="107" t="str">
        <x:v>30</x:v>
      </x:c>
      <x:c r="G62" s="113" t="str">
        <x:v>Not available</x:v>
      </x:c>
      <x:c r="H62" s="119" t="str">
        <x:v>0.00</x:v>
      </x:c>
      <x:c r="I62" s="67" t="str">
        <x:v>ART-02</x:v>
      </x:c>
      <x:c r="J62" s="67" t="str">
        <x:v>5 Articles Every Custom Home Builder Blog Needs</x:v>
      </x:c>
      <x:c r="K62" s="67" t="str">
        <x:v>/custom-home-builder-blog-articles/</x:v>
      </x:c>
      <x:c r="L62" s="67" t="str">
        <x:v>Assigned</x:v>
      </x:c>
      <x:c r="M62" s="67" t="str">
        <x:v>Complete interview-integrated draft</x:v>
      </x:c>
      <x:c r="N62" s="67" t="str">
        <x:v>Current pilot</x:v>
      </x:c>
      <x:c r="O62" s="67" t="str">
        <x:v>Supporting article</x:v>
      </x:c>
      <x:c r="P62" s="67" t="str">
        <x:v>Build now</x:v>
      </x:c>
      <x:c r="Q62" s="67" t="str">
        <x:v>Semrush volume current but KD refresh unavailable 2026-08-04</x:v>
      </x:c>
      <x:c r="R62" s="67" t="str"/>
      <x:c r="S62" s="67" t="str"/>
      <x:c r="T62" s="67" t="str"/>
      <x:c r="U62" s="67" t="str"/>
      <x:c r="V62" s="67" t="str">
        <x:v>Not tracked in the August 17 Moz export; retain the Semrush demand and difficulty decision.</x:v>
      </x:c>
      <x:c r="W62" s="67" t="str">
        <x:v>Existing calendar target with current Semrush volume confirmation</x:v>
      </x:c>
    </x:row>
    <x:row r="63">
      <x:c r="A63" s="95" t="str">
        <x:v>59</x:v>
      </x:c>
      <x:c r="B63" s="67" t="str">
        <x:v>digital marketing agency</x:v>
      </x:c>
      <x:c r="C63" s="67" t="str">
        <x:v>Generic agency</x:v>
      </x:c>
      <x:c r="D63" s="67" t="str">
        <x:v>Commercial</x:v>
      </x:c>
      <x:c r="E63" s="67" t="str">
        <x:v>Decision</x:v>
      </x:c>
      <x:c r="F63" s="107" t="str">
        <x:v>74000</x:v>
      </x:c>
      <x:c r="G63" s="113" t="str">
        <x:v>87</x:v>
      </x:c>
      <x:c r="H63" s="119" t="str">
        <x:v>8.45</x:v>
      </x:c>
      <x:c r="I63" s="67" t="str">
        <x:v>REJECT-GENERIC</x:v>
      </x:c>
      <x:c r="J63" s="67" t="str">
        <x:v>Too broad and misaligned to the builder pilot</x:v>
      </x:c>
      <x:c r="K63" s="67" t="str">
        <x:v>No content owner</x:v>
      </x:c>
      <x:c r="L63" s="67" t="str">
        <x:v>Rejected</x:v>
      </x:c>
      <x:c r="M63" s="67" t="str">
        <x:v>Rejected from builder-marketing plan</x:v>
      </x:c>
      <x:c r="N63" s="67" t="str">
        <x:v>Do not build</x:v>
      </x:c>
      <x:c r="O63" s="67" t="str">
        <x:v>None</x:v>
      </x:c>
      <x:c r="P63" s="67" t="str">
        <x:v>Reject for pilot</x:v>
      </x:c>
      <x:c r="Q63" s="67" t="str">
        <x:v>Live Semrush US desktop 2026-08-04</x:v>
      </x:c>
      <x:c r="R63" s="67" t="str"/>
      <x:c r="S63" s="67" t="str"/>
      <x:c r="T63" s="67" t="str"/>
      <x:c r="U63" s="67" t="str"/>
      <x:c r="V63" s="67" t="str">
        <x:v>Not tracked in the August 17 Moz export; retain the Semrush demand and difficulty decision.</x:v>
      </x:c>
      <x:c r="W63" s="67" t="str">
        <x:v>Far too broad and difficult for this focused authority pilot</x:v>
      </x:c>
    </x:row>
    <x:row r="64">
      <x:c r="A64" s="95" t="str">
        <x:v>60</x:v>
      </x:c>
      <x:c r="B64" s="67" t="str">
        <x:v>SEO agency</x:v>
      </x:c>
      <x:c r="C64" s="67" t="str">
        <x:v>Generic service</x:v>
      </x:c>
      <x:c r="D64" s="67" t="str">
        <x:v>Commercial</x:v>
      </x:c>
      <x:c r="E64" s="67" t="str">
        <x:v>Decision</x:v>
      </x:c>
      <x:c r="F64" s="107" t="str">
        <x:v>60500</x:v>
      </x:c>
      <x:c r="G64" s="113" t="str">
        <x:v>50</x:v>
      </x:c>
      <x:c r="H64" s="119" t="str">
        <x:v>19.04</x:v>
      </x:c>
      <x:c r="I64" s="67" t="str">
        <x:v>REJECT-GENERIC</x:v>
      </x:c>
      <x:c r="J64" s="67" t="str">
        <x:v>Too broad and misaligned to the builder pilot</x:v>
      </x:c>
      <x:c r="K64" s="67" t="str">
        <x:v>No content owner</x:v>
      </x:c>
      <x:c r="L64" s="67" t="str">
        <x:v>Rejected</x:v>
      </x:c>
      <x:c r="M64" s="67" t="str">
        <x:v>Rejected from builder-marketing plan</x:v>
      </x:c>
      <x:c r="N64" s="67" t="str">
        <x:v>Do not build</x:v>
      </x:c>
      <x:c r="O64" s="67" t="str">
        <x:v>None</x:v>
      </x:c>
      <x:c r="P64" s="67" t="str">
        <x:v>Reject for pilot</x:v>
      </x:c>
      <x:c r="Q64" s="67" t="str">
        <x:v>Live Semrush US desktop 2026-08-04</x:v>
      </x:c>
      <x:c r="R64" s="67" t="str"/>
      <x:c r="S64" s="67" t="str"/>
      <x:c r="T64" s="67" t="str"/>
      <x:c r="U64" s="67" t="str"/>
      <x:c r="V64" s="67" t="str">
        <x:v>Not tracked in the August 17 Moz export; retain the Semrush demand and difficulty decision.</x:v>
      </x:c>
      <x:c r="W64" s="67" t="str">
        <x:v>Too broad and not builder specific despite high commercial value</x:v>
      </x:c>
    </x:row>
    <x:row r="65">
      <x:c r="A65" s="95" t="str">
        <x:v>61</x:v>
      </x:c>
      <x:c r="B65" s="67" t="str">
        <x:v>custom home builders near me</x:v>
      </x:c>
      <x:c r="C65" s="67" t="str">
        <x:v>Consumer query</x:v>
      </x:c>
      <x:c r="D65" s="67" t="str">
        <x:v>Transactional</x:v>
      </x:c>
      <x:c r="E65" s="67" t="str">
        <x:v>Decision</x:v>
      </x:c>
      <x:c r="F65" s="107" t="str">
        <x:v>9900</x:v>
      </x:c>
      <x:c r="G65" s="113" t="str">
        <x:v>68</x:v>
      </x:c>
      <x:c r="H65" s="119" t="str">
        <x:v>3.76</x:v>
      </x:c>
      <x:c r="I65" s="67" t="str">
        <x:v>REJECT-CONSUMER</x:v>
      </x:c>
      <x:c r="J65" s="67" t="str">
        <x:v>Consumer wants a builder or cost answer, not builder-marketing services</x:v>
      </x:c>
      <x:c r="K65" s="67" t="str">
        <x:v>No content owner</x:v>
      </x:c>
      <x:c r="L65" s="67" t="str">
        <x:v>Rejected</x:v>
      </x:c>
      <x:c r="M65" s="67" t="str">
        <x:v>Rejected from builder-marketing plan</x:v>
      </x:c>
      <x:c r="N65" s="67" t="str">
        <x:v>Do not build</x:v>
      </x:c>
      <x:c r="O65" s="67" t="str">
        <x:v>None</x:v>
      </x:c>
      <x:c r="P65" s="67" t="str">
        <x:v>Reject</x:v>
      </x:c>
      <x:c r="Q65" s="67" t="str">
        <x:v>Live Semrush US desktop 2026-08-04</x:v>
      </x:c>
      <x:c r="R65" s="67" t="str"/>
      <x:c r="S65" s="67" t="str"/>
      <x:c r="T65" s="67" t="str"/>
      <x:c r="U65" s="67" t="str"/>
      <x:c r="V65" s="67" t="str">
        <x:v>Not tracked in the August 17 Moz export; retain the Semrush demand and difficulty decision.</x:v>
      </x:c>
      <x:c r="W65" s="67" t="str">
        <x:v>Searcher wants to hire a builder rather than a marketing partner</x:v>
      </x:c>
    </x:row>
    <x:row r="66">
      <x:c r="A66" s="96" t="str">
        <x:v>62</x:v>
      </x:c>
      <x:c r="B66" s="68" t="str">
        <x:v>how much does a custom home cost</x:v>
      </x:c>
      <x:c r="C66" s="68" t="str">
        <x:v>Consumer query</x:v>
      </x:c>
      <x:c r="D66" s="68" t="str">
        <x:v>Informational</x:v>
      </x:c>
      <x:c r="E66" s="68" t="str">
        <x:v>Awareness</x:v>
      </x:c>
      <x:c r="F66" s="108" t="str">
        <x:v>70</x:v>
      </x:c>
      <x:c r="G66" s="114" t="str">
        <x:v>1</x:v>
      </x:c>
      <x:c r="H66" s="120" t="str">
        <x:v>1.98</x:v>
      </x:c>
      <x:c r="I66" s="68" t="str">
        <x:v>REJECT-CONSUMER</x:v>
      </x:c>
      <x:c r="J66" s="68" t="str">
        <x:v>Consumer wants a builder or cost answer, not builder-marketing services</x:v>
      </x:c>
      <x:c r="K66" s="68" t="str">
        <x:v>No content owner</x:v>
      </x:c>
      <x:c r="L66" s="68" t="str">
        <x:v>Rejected</x:v>
      </x:c>
      <x:c r="M66" s="68" t="str">
        <x:v>Rejected from builder-marketing plan</x:v>
      </x:c>
      <x:c r="N66" s="68" t="str">
        <x:v>Do not build</x:v>
      </x:c>
      <x:c r="O66" s="68" t="str">
        <x:v>None</x:v>
      </x:c>
      <x:c r="P66" s="68" t="str">
        <x:v>Reject</x:v>
      </x:c>
      <x:c r="Q66" s="68" t="str">
        <x:v>Live Semrush US desktop 2026-08-04</x:v>
      </x:c>
      <x:c r="R66" s="68" t="str"/>
      <x:c r="S66" s="68" t="str"/>
      <x:c r="T66" s="68" t="str"/>
      <x:c r="U66" s="68" t="str"/>
      <x:c r="V66" s="68" t="str">
        <x:v>Not tracked in the August 17 Moz export; retain the Semrush demand and difficulty decision.</x:v>
      </x:c>
      <x:c r="W66" s="68" t="str">
        <x:v>Homeowner research intent does not align with BigOrange agency services</x:v>
      </x:c>
    </x:row>
  </x:sheetData>
  <x:mergeCells>
    <x:mergeCell ref="A1:W1"/>
    <x:mergeCell ref="A2:W2"/>
  </x:mergeCells>
  <x:conditionalFormatting sqref="L5:N66">
    <x:cfRule type="containsText" dxfId="0" priority="1" operator="containsText" text="Complete"/>
    <x:cfRule type="containsText" dxfId="1" priority="2" operator="containsText" text="Blocked"/>
    <x:cfRule type="containsText" dxfId="2" priority="3" operator="containsText" text="Requires"/>
    <x:cfRule type="containsText" dxfId="3" priority="4" operator="containsText" text="Not included"/>
    <x:cfRule type="containsText" dxfId="4" priority="5" operator="containsText" text="Rejected"/>
    <x:cfRule type="containsText" dxfId="5" priority="6" operator="containsText" text="hold"/>
  </x:conditionalFormatting>
  <x:pageMargins left="0.7" right="0.7" top="0.75" bottom="0.75" header="0.3" footer="0.3"/>
  <x:tableParts count="1">
    <x:tablePart xmlns:r="http://schemas.openxmlformats.org/officeDocument/2006/relationships" r:id="Rcacd0cf8612e4e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38" hidden="0" customWidth="1"/>
    <x:col min="4" max="4" width="34" hidden="0" customWidth="1"/>
    <x:col min="5" max="5" width="48" hidden="0" customWidth="1"/>
    <x:col min="6" max="6" width="20" hidden="0" customWidth="1"/>
    <x:col min="7" max="7" width="18" hidden="0" customWidth="1"/>
    <x:col min="8" max="8" width="26" hidden="0" customWidth="1"/>
    <x:col min="9" max="9" width="44" hidden="0" customWidth="1"/>
    <x:col min="10" max="10" width="32" hidden="0" customWidth="1"/>
    <x:col min="11" max="11" width="48" hidden="0" customWidth="1"/>
    <x:col min="12" max="12" width="28" hidden="0" customWidth="1"/>
  </x:cols>
  <x:sheetData>
    <x:row r="1" ht="34" customHeight="1">
      <x:c r="A1" s="6" t="str">
        <x:v>Content Asset Register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32" customHeight="1">
      <x:c r="A2" s="16" t="str">
        <x:v>Current-pilot production is separated from next-phase briefs, Phase 2 exclusions, backlog, and validation-first candidates.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4" ht="30" customHeight="1">
      <x:c r="A4" s="90" t="str">
        <x:v>Asset ID</x:v>
      </x:c>
      <x:c r="B4" s="90" t="str">
        <x:v>Type</x:v>
      </x:c>
      <x:c r="C4" s="90" t="str">
        <x:v>Title</x:v>
      </x:c>
      <x:c r="D4" s="90" t="str">
        <x:v>Owner URL / Slug</x:v>
      </x:c>
      <x:c r="E4" s="90" t="str">
        <x:v>Reader Job</x:v>
      </x:c>
      <x:c r="F4" s="90" t="str">
        <x:v>Funnel Stage</x:v>
      </x:c>
      <x:c r="G4" s="90" t="str">
        <x:v>Scope Bucket</x:v>
      </x:c>
      <x:c r="H4" s="90" t="str">
        <x:v>Build Window</x:v>
      </x:c>
      <x:c r="I4" s="90" t="str">
        <x:v>Scope State</x:v>
      </x:c>
      <x:c r="J4" s="90" t="str">
        <x:v>Primary CTA</x:v>
      </x:c>
      <x:c r="K4" s="90" t="str">
        <x:v>Source / Approval Needs</x:v>
      </x:c>
      <x:c r="L4" s="90" t="str">
        <x:v>Internal Links</x:v>
      </x:c>
    </x:row>
    <x:row r="5">
      <x:c r="A5" s="66" t="str">
        <x:v>HUB-01</x:v>
      </x:c>
      <x:c r="B5" s="66" t="str">
        <x:v>Existing authority hub</x:v>
      </x:c>
      <x:c r="C5" s="66" t="str">
        <x:v>Custom Home Builder Marketing That Builds Trust Before the First Call</x:v>
      </x:c>
      <x:c r="D5" s="66" t="str">
        <x:v>/marketing-agency-for-builders/</x:v>
      </x:c>
      <x:c r="E5" s="66" t="str">
        <x:v>Help a builder evaluate BigOrange's complete marketing system and take a low-pressure next step.</x:v>
      </x:c>
      <x:c r="F5" s="66" t="str">
        <x:v>Commercial investigation</x:v>
      </x:c>
      <x:c r="G5" s="66" t="str">
        <x:v>Current pilot</x:v>
      </x:c>
      <x:c r="H5" s="66" t="str">
        <x:v>Current pilot</x:v>
      </x:c>
      <x:c r="I5" s="66" t="str">
        <x:v>Complete interview-integrated draft</x:v>
      </x:c>
      <x:c r="J5" s="66" t="str">
        <x:v>Schedule a non-sales call</x:v>
      </x:c>
      <x:c r="K5" s="66" t="str">
        <x:v>Janice factual and permission review; leadership direction; approved photography; staging QA</x:v>
      </x:c>
      <x:c r="L5" s="66" t="str">
        <x:v>ART-01, ART-02, STR-01, VIS-01, WEB-01, LEAD-01</x:v>
      </x:c>
    </x:row>
    <x:row r="6">
      <x:c r="A6" s="67" t="str">
        <x:v>ART-01</x:v>
      </x:c>
      <x:c r="B6" s="67" t="str">
        <x:v>Supporting article</x:v>
      </x:c>
      <x:c r="C6" s="67" t="str">
        <x:v>Why Your Home Builder Website Is Not Generating Qualified Leads</x:v>
      </x:c>
      <x:c r="D6" s="67" t="str">
        <x:v>/home-builder-website-not-generating-leads/</x:v>
      </x:c>
      <x:c r="E6" s="67" t="str">
        <x:v>Diagnose why a builder website fails to produce right-fit conversations and show the corrective sequence.</x:v>
      </x:c>
      <x:c r="F6" s="67" t="str">
        <x:v>Commercial investigation</x:v>
      </x:c>
      <x:c r="G6" s="67" t="str">
        <x:v>Current pilot</x:v>
      </x:c>
      <x:c r="H6" s="67" t="str">
        <x:v>Current pilot</x:v>
      </x:c>
      <x:c r="I6" s="67" t="str">
        <x:v>Complete interview-integrated draft</x:v>
      </x:c>
      <x:c r="J6" s="67" t="str">
        <x:v>Request a builder website clarity review</x:v>
      </x:c>
      <x:c r="K6" s="67" t="str">
        <x:v>Janice factual and permission review; approved project proof; featured image; staging QA</x:v>
      </x:c>
      <x:c r="L6" s="67" t="str">
        <x:v>HUB-01, WEB-01, GAL-01, SEOCHK-01</x:v>
      </x:c>
    </x:row>
    <x:row r="7">
      <x:c r="A7" s="67" t="str">
        <x:v>ART-02</x:v>
      </x:c>
      <x:c r="B7" s="67" t="str">
        <x:v>Supporting article</x:v>
      </x:c>
      <x:c r="C7" s="67" t="str">
        <x:v>5 Articles Every Custom Home Builder Blog Needs</x:v>
      </x:c>
      <x:c r="D7" s="67" t="str">
        <x:v>/custom-home-builder-blog-articles/</x:v>
      </x:c>
      <x:c r="E7" s="67" t="str">
        <x:v>Give builders a focused editorial starting point built around real buyer decisions.</x:v>
      </x:c>
      <x:c r="F7" s="67" t="str">
        <x:v>Informational</x:v>
      </x:c>
      <x:c r="G7" s="67" t="str">
        <x:v>Current pilot</x:v>
      </x:c>
      <x:c r="H7" s="67" t="str">
        <x:v>Current pilot</x:v>
      </x:c>
      <x:c r="I7" s="67" t="str">
        <x:v>Complete interview-integrated draft</x:v>
      </x:c>
      <x:c r="J7" s="67" t="str">
        <x:v>Schedule a builder content planning call</x:v>
      </x:c>
      <x:c r="K7" s="67" t="str">
        <x:v>Janice factual and permission review; approved examples; featured image; staging QA</x:v>
      </x:c>
      <x:c r="L7" s="67" t="str">
        <x:v>HUB-01, CNT-01, STR-01, WEB-01</x:v>
      </x:c>
    </x:row>
    <x:row r="8">
      <x:c r="A8" s="67" t="str">
        <x:v>STR-01</x:v>
      </x:c>
      <x:c r="B8" s="67" t="str">
        <x:v>Subpillar and planning guide</x:v>
      </x:c>
      <x:c r="C8" s="67" t="str">
        <x:v>A Practical Home Builder Marketing Plan</x:v>
      </x:c>
      <x:c r="D8" s="67" t="str">
        <x:v>/home-builder-marketing-plan/</x:v>
      </x:c>
      <x:c r="E8" s="67" t="str">
        <x:v>Help a builder sequence positioning, proof, visibility, demand, and follow-up without buying random tactics.</x:v>
      </x:c>
      <x:c r="F8" s="67" t="str">
        <x:v>Informational to commercial</x:v>
      </x:c>
      <x:c r="G8" s="67" t="str">
        <x:v>Next phase</x:v>
      </x:c>
      <x:c r="H8" s="67" t="str">
        <x:v>Days 31-60 / next phase</x:v>
      </x:c>
      <x:c r="I8" s="67" t="str">
        <x:v>Brief ready; production not included in current pilot</x:v>
      </x:c>
      <x:c r="J8" s="67" t="str">
        <x:v>Download the 90-day planning worksheet</x:v>
      </x:c>
      <x:c r="K8" s="67" t="str">
        <x:v>Leadership scope and owner; updated sources at production time</x:v>
      </x:c>
      <x:c r="L8" s="67" t="str">
        <x:v>HUB-01, AUD-01, LEAD-01, VIS-01</x:v>
      </x:c>
    </x:row>
    <x:row r="9">
      <x:c r="A9" s="67" t="str">
        <x:v>VIS-01</x:v>
      </x:c>
      <x:c r="B9" s="67" t="str">
        <x:v>SEO and visibility subpillar</x:v>
      </x:c>
      <x:c r="C9" s="67" t="str">
        <x:v>SEO, Local Search, and AI Visibility for Home Builders</x:v>
      </x:c>
      <x:c r="D9" s="67" t="str">
        <x:v>/seo-for-home-builders/</x:v>
      </x:c>
      <x:c r="E9" s="67" t="str">
        <x:v>Explain the technical, local, editorial, and measurement foundation for discoverability.</x:v>
      </x:c>
      <x:c r="F9" s="67" t="str">
        <x:v>Commercial investigation</x:v>
      </x:c>
      <x:c r="G9" s="67" t="str">
        <x:v>Next phase</x:v>
      </x:c>
      <x:c r="H9" s="67" t="str">
        <x:v>Days 31-60 / next phase</x:v>
      </x:c>
      <x:c r="I9" s="67" t="str">
        <x:v>Brief ready; production not included in current pilot</x:v>
      </x:c>
      <x:c r="J9" s="67" t="str">
        <x:v>Request a builder visibility review</x:v>
      </x:c>
      <x:c r="K9" s="67" t="str">
        <x:v>Current official platform guidance and live technical baseline at production time</x:v>
      </x:c>
      <x:c r="L9" s="67" t="str">
        <x:v>HUB-01, LOCAL-01, SEOCHK-01, CNT-01</x:v>
      </x:c>
    </x:row>
    <x:row r="10">
      <x:c r="A10" s="67" t="str">
        <x:v>WEB-01</x:v>
      </x:c>
      <x:c r="B10" s="67" t="str">
        <x:v>Website conversion subpillar</x:v>
      </x:c>
      <x:c r="C10" s="67" t="str">
        <x:v>Home Builder Website Design, Proof, and Conversion</x:v>
      </x:c>
      <x:c r="D10" s="67" t="str">
        <x:v>/home-builder-website-design/</x:v>
      </x:c>
      <x:c r="E10" s="67" t="str">
        <x:v>Help buyers compare website strategy, design, development, proof, and conversion services.</x:v>
      </x:c>
      <x:c r="F10" s="67" t="str">
        <x:v>Commercial investigation</x:v>
      </x:c>
      <x:c r="G10" s="67" t="str">
        <x:v>Next phase</x:v>
      </x:c>
      <x:c r="H10" s="67" t="str">
        <x:v>Days 31-60 / next phase</x:v>
      </x:c>
      <x:c r="I10" s="67" t="str">
        <x:v>Brief ready; production not included in current pilot</x:v>
      </x:c>
      <x:c r="J10" s="67" t="str">
        <x:v>Request a builder website clarity review</x:v>
      </x:c>
      <x:c r="K10" s="67" t="str">
        <x:v>Approved project proof, current service scope, and technical owner</x:v>
      </x:c>
      <x:c r="L10" s="67" t="str">
        <x:v>HUB-01, ART-01, GAL-01, TPL-01</x:v>
      </x:c>
    </x:row>
    <x:row r="11">
      <x:c r="A11" s="67" t="str">
        <x:v>AUD-01</x:v>
      </x:c>
      <x:c r="B11" s="67" t="str">
        <x:v>Audience strategy guide</x:v>
      </x:c>
      <x:c r="C11" s="67" t="str">
        <x:v>Custom Home Builder Target Market Segments</x:v>
      </x:c>
      <x:c r="D11" s="67" t="str">
        <x:v>/custom-home-builder-target-market-segments/</x:v>
      </x:c>
      <x:c r="E11" s="67" t="str">
        <x:v>Help builders define the buyer, market, project, and transition moments their marketing should serve.</x:v>
      </x:c>
      <x:c r="F11" s="67" t="str">
        <x:v>Informational</x:v>
      </x:c>
      <x:c r="G11" s="67" t="str">
        <x:v>Next phase</x:v>
      </x:c>
      <x:c r="H11" s="67" t="str">
        <x:v>Days 31-60 / next phase</x:v>
      </x:c>
      <x:c r="I11" s="67" t="str">
        <x:v>Brief ready; production not included in current pilot</x:v>
      </x:c>
      <x:c r="J11" s="67" t="str">
        <x:v>Map the right-fit buyer</x:v>
      </x:c>
      <x:c r="K11" s="67" t="str">
        <x:v>Janice audience review; anonymized client patterns; market-specific validation</x:v>
      </x:c>
      <x:c r="L11" s="67" t="str">
        <x:v>HUB-01, STR-01, LEAD-01</x:v>
      </x:c>
    </x:row>
    <x:row r="12">
      <x:c r="A12" s="67" t="str">
        <x:v>LEAD-01</x:v>
      </x:c>
      <x:c r="B12" s="67" t="str">
        <x:v>Lead generation and sales alignment guide</x:v>
      </x:c>
      <x:c r="C12" s="67" t="str">
        <x:v>Home Builder Lead Generation and Follow-Up</x:v>
      </x:c>
      <x:c r="D12" s="67" t="str">
        <x:v>/home-builder-lead-generation/</x:v>
      </x:c>
      <x:c r="E12" s="67" t="str">
        <x:v>Define raised-hand leads, qualification, response ownership, nurture, and sales feedback.</x:v>
      </x:c>
      <x:c r="F12" s="67" t="str">
        <x:v>Commercial investigation</x:v>
      </x:c>
      <x:c r="G12" s="67" t="str">
        <x:v>Next phase</x:v>
      </x:c>
      <x:c r="H12" s="67" t="str">
        <x:v>Days 61-90 / next phase</x:v>
      </x:c>
      <x:c r="I12" s="67" t="str">
        <x:v>Brief ready; production not included in current pilot</x:v>
      </x:c>
      <x:c r="J12" s="67" t="str">
        <x:v>Map the lead handoff</x:v>
      </x:c>
      <x:c r="K12" s="67" t="str">
        <x:v>Complete qualified-lead definition; CRM and sales-owner review</x:v>
      </x:c>
      <x:c r="L12" s="67" t="str">
        <x:v>HUB-01, NUR-01, AUTO-01, STR-01</x:v>
      </x:c>
    </x:row>
    <x:row r="13">
      <x:c r="A13" s="67" t="str">
        <x:v>LOCAL-01</x:v>
      </x:c>
      <x:c r="B13" s="67" t="str">
        <x:v>Supporting guide</x:v>
      </x:c>
      <x:c r="C13" s="67" t="str">
        <x:v>Local SEO for Home Builders: Markets, Reviews, and Proof</x:v>
      </x:c>
      <x:c r="D13" s="67" t="str">
        <x:v>/local-seo-for-home-builders/</x:v>
      </x:c>
      <x:c r="E13" s="67" t="str">
        <x:v>Show how real geography, projects, testimonials, and local entities support discovery without doorway pages.</x:v>
      </x:c>
      <x:c r="F13" s="67" t="str">
        <x:v>Commercial investigation</x:v>
      </x:c>
      <x:c r="G13" s="67" t="str">
        <x:v>Next phase</x:v>
      </x:c>
      <x:c r="H13" s="67" t="str">
        <x:v>Days 31-60 / next phase</x:v>
      </x:c>
      <x:c r="I13" s="67" t="str">
        <x:v>Brief ready; production not included in current pilot</x:v>
      </x:c>
      <x:c r="J13" s="67" t="str">
        <x:v>Download the local visibility checklist</x:v>
      </x:c>
      <x:c r="K13" s="67" t="str">
        <x:v>Current GBP and directory evidence; approved local proof</x:v>
      </x:c>
      <x:c r="L13" s="67" t="str">
        <x:v>VIS-01, HUB-01, GAL-01</x:v>
      </x:c>
    </x:row>
    <x:row r="14">
      <x:c r="A14" s="67" t="str">
        <x:v>NUR-01</x:v>
      </x:c>
      <x:c r="B14" s="67" t="str">
        <x:v>Email and CRM guide</x:v>
      </x:c>
      <x:c r="C14" s="67" t="str">
        <x:v>Home Builder Email Marketing, CRM, and Lead Nurture</x:v>
      </x:c>
      <x:c r="D14" s="67" t="str">
        <x:v>/home-builder-email-marketing-crm/</x:v>
      </x:c>
      <x:c r="E14" s="67" t="str">
        <x:v>Help builders move from spreadsheets and one-off follow-up to an owned nurture process.</x:v>
      </x:c>
      <x:c r="F14" s="67" t="str">
        <x:v>Commercial investigation</x:v>
      </x:c>
      <x:c r="G14" s="67" t="str">
        <x:v>Next phase</x:v>
      </x:c>
      <x:c r="H14" s="67" t="str">
        <x:v>Days 61-90 / next phase</x:v>
      </x:c>
      <x:c r="I14" s="67" t="str">
        <x:v>Brief ready; production not included in current pilot</x:v>
      </x:c>
      <x:c r="J14" s="67" t="str">
        <x:v>Review the lead nurture path</x:v>
      </x:c>
      <x:c r="K14" s="67" t="str">
        <x:v>HubSpot/service-scope review; sales workflow owner; approved Homearama paraphrase</x:v>
      </x:c>
      <x:c r="L14" s="67" t="str">
        <x:v>HUB-01, LEAD-01, AUTO-01</x:v>
      </x:c>
    </x:row>
    <x:row r="15">
      <x:c r="A15" s="67" t="str">
        <x:v>AUTO-01</x:v>
      </x:c>
      <x:c r="B15" s="67" t="str">
        <x:v>Automation guide</x:v>
      </x:c>
      <x:c r="C15" s="67" t="str">
        <x:v>Marketing Automation for Home Builders Without Losing the Human Touch</x:v>
      </x:c>
      <x:c r="D15" s="67" t="str">
        <x:v>/home-builder-marketing-automation/</x:v>
      </x:c>
      <x:c r="E15" s="67" t="str">
        <x:v>Explain which follow-up and reporting steps can be automated and which need human judgment.</x:v>
      </x:c>
      <x:c r="F15" s="67" t="str">
        <x:v>Commercial investigation</x:v>
      </x:c>
      <x:c r="G15" s="67" t="str">
        <x:v>Next phase</x:v>
      </x:c>
      <x:c r="H15" s="67" t="str">
        <x:v>Days 61-90 / next phase</x:v>
      </x:c>
      <x:c r="I15" s="67" t="str">
        <x:v>Brief ready; production not included in current pilot</x:v>
      </x:c>
      <x:c r="J15" s="67" t="str">
        <x:v>Map the automation opportunities</x:v>
      </x:c>
      <x:c r="K15" s="67" t="str">
        <x:v>Approved tool stack and CRM workflow</x:v>
      </x:c>
      <x:c r="L15" s="67" t="str">
        <x:v>LEAD-01, NUR-01, HUB-01</x:v>
      </x:c>
    </x:row>
    <x:row r="16">
      <x:c r="A16" s="67" t="str">
        <x:v>SOC-01</x:v>
      </x:c>
      <x:c r="B16" s="67" t="str">
        <x:v>Social content guide</x:v>
      </x:c>
      <x:c r="C16" s="67" t="str">
        <x:v>Social Media Marketing for Home Builders</x:v>
      </x:c>
      <x:c r="D16" s="67" t="str">
        <x:v>/social-media-marketing-for-home-builders/</x:v>
      </x:c>
      <x:c r="E16" s="67" t="str">
        <x:v>Turn job-site expertise, materials, progress, and project proof into useful short-form content.</x:v>
      </x:c>
      <x:c r="F16" s="67" t="str">
        <x:v>Informational to commercial</x:v>
      </x:c>
      <x:c r="G16" s="67" t="str">
        <x:v>Phase 2</x:v>
      </x:c>
      <x:c r="H16" s="67" t="str">
        <x:v>Phase 2</x:v>
      </x:c>
      <x:c r="I16" s="67" t="str">
        <x:v>Brief ready; production explicitly excluded from current pilot</x:v>
      </x:c>
      <x:c r="J16" s="67" t="str">
        <x:v>Plan a builder content capture day</x:v>
      </x:c>
      <x:c r="K16" s="67" t="str">
        <x:v>Approved client footage, releases, and production scope</x:v>
      </x:c>
      <x:c r="L16" s="67" t="str">
        <x:v>HUB-01, CNT-01, ART-02</x:v>
      </x:c>
    </x:row>
    <x:row r="17">
      <x:c r="A17" s="67" t="str">
        <x:v>CNT-01</x:v>
      </x:c>
      <x:c r="B17" s="67" t="str">
        <x:v>Content marketing guide</x:v>
      </x:c>
      <x:c r="C17" s="67" t="str">
        <x:v>Home Builder Content Marketing That Answers Real Buyer Questions</x:v>
      </x:c>
      <x:c r="D17" s="67" t="str">
        <x:v>/home-builder-content-marketing/</x:v>
      </x:c>
      <x:c r="E17" s="67" t="str">
        <x:v>Connect SME interviews, articles, FAQs, email, social, video, sales use, and content updates.</x:v>
      </x:c>
      <x:c r="F17" s="67" t="str">
        <x:v>Commercial investigation</x:v>
      </x:c>
      <x:c r="G17" s="67" t="str">
        <x:v>Next phase</x:v>
      </x:c>
      <x:c r="H17" s="67" t="str">
        <x:v>Days 31-60 / next phase</x:v>
      </x:c>
      <x:c r="I17" s="67" t="str">
        <x:v>Brief ready; production not included in current pilot</x:v>
      </x:c>
      <x:c r="J17" s="67" t="str">
        <x:v>Build the first editorial map</x:v>
      </x:c>
      <x:c r="K17" s="67" t="str">
        <x:v>Actual pilot review-time evidence and Janice permission closure</x:v>
      </x:c>
      <x:c r="L17" s="67" t="str">
        <x:v>HUB-01, ART-02, VIS-01, SOC-01</x:v>
      </x:c>
    </x:row>
    <x:row r="18">
      <x:c r="A18" s="67" t="str">
        <x:v>GAL-01</x:v>
      </x:c>
      <x:c r="B18" s="67" t="str">
        <x:v>Gallery and evaluation guide</x:v>
      </x:c>
      <x:c r="C18" s="67" t="str">
        <x:v>Best Home Builder Websites: Examples and Evaluation Criteria</x:v>
      </x:c>
      <x:c r="D18" s="67" t="str">
        <x:v>/best-home-builder-websites/</x:v>
      </x:c>
      <x:c r="E18" s="67" t="str">
        <x:v>Help builders evaluate website examples by proof, process, performance, accessibility, and conversion rather than looks alone.</x:v>
      </x:c>
      <x:c r="F18" s="67" t="str">
        <x:v>Commercial investigation</x:v>
      </x:c>
      <x:c r="G18" s="67" t="str">
        <x:v>Next phase</x:v>
      </x:c>
      <x:c r="H18" s="67" t="str">
        <x:v>Days 61-90 / next phase</x:v>
      </x:c>
      <x:c r="I18" s="67" t="str">
        <x:v>Brief ready; production not included in current pilot</x:v>
      </x:c>
      <x:c r="J18" s="67" t="str">
        <x:v>Score a builder website</x:v>
      </x:c>
      <x:c r="K18" s="67" t="str">
        <x:v>Fresh example inventory, screenshot permissions, objective scoring criteria</x:v>
      </x:c>
      <x:c r="L18" s="67" t="str">
        <x:v>WEB-01, ART-01, TPL-01</x:v>
      </x:c>
    </x:row>
    <x:row r="19">
      <x:c r="A19" s="67" t="str">
        <x:v>TPL-01</x:v>
      </x:c>
      <x:c r="B19" s="67" t="str">
        <x:v>Template and platform guide</x:v>
      </x:c>
      <x:c r="C19" s="67" t="str">
        <x:v>Home Builder Website Templates and Platforms: What to Evaluate</x:v>
      </x:c>
      <x:c r="D19" s="67" t="str">
        <x:v>/home-builder-website-templates/</x:v>
      </x:c>
      <x:c r="E19" s="67" t="str">
        <x:v>Help a builder compare templates, hosted builders, and custom WordPress work without confusing platform and strategy.</x:v>
      </x:c>
      <x:c r="F19" s="67" t="str">
        <x:v>Commercial investigation</x:v>
      </x:c>
      <x:c r="G19" s="67" t="str">
        <x:v>Backlog</x:v>
      </x:c>
      <x:c r="H19" s="67" t="str">
        <x:v>Backlog / after authority foundation</x:v>
      </x:c>
      <x:c r="I19" s="67" t="str">
        <x:v>Brief ready; production not included in current pilot</x:v>
      </x:c>
      <x:c r="J19" s="67" t="str">
        <x:v>Review the platform decision</x:v>
      </x:c>
      <x:c r="K19" s="67" t="str">
        <x:v>Fresh platform capabilities, pricing, ownership, accessibility, and export review</x:v>
      </x:c>
      <x:c r="L19" s="67" t="str">
        <x:v>WEB-01, GAL-01, ART-01</x:v>
      </x:c>
    </x:row>
    <x:row r="20">
      <x:c r="A20" s="67" t="str">
        <x:v>SEOCHK-01</x:v>
      </x:c>
      <x:c r="B20" s="67" t="str">
        <x:v>SEO checklist</x:v>
      </x:c>
      <x:c r="C20" s="67" t="str">
        <x:v>Recommended Phrases and Page Elements for Home Builder Website SEO</x:v>
      </x:c>
      <x:c r="D20" s="67" t="str">
        <x:v>/home-builder-website-seo-checklist/</x:v>
      </x:c>
      <x:c r="E20" s="67" t="str">
        <x:v>Give marketers a safe on-page checklist without encouraging keyword stuffing.</x:v>
      </x:c>
      <x:c r="F20" s="67" t="str">
        <x:v>Informational</x:v>
      </x:c>
      <x:c r="G20" s="67" t="str">
        <x:v>Next phase</x:v>
      </x:c>
      <x:c r="H20" s="67" t="str">
        <x:v>Days 31-60 / next phase</x:v>
      </x:c>
      <x:c r="I20" s="67" t="str">
        <x:v>Brief ready; production not included in current pilot</x:v>
      </x:c>
      <x:c r="J20" s="67" t="str">
        <x:v>Download the SEO checklist</x:v>
      </x:c>
      <x:c r="K20" s="67" t="str">
        <x:v>Current official guidance and examples from approved pages</x:v>
      </x:c>
      <x:c r="L20" s="67" t="str">
        <x:v>VIS-01, ART-01, HUB-01</x:v>
      </x:c>
    </x:row>
    <x:row r="21">
      <x:c r="A21" s="67" t="str">
        <x:v>MKTRES-01</x:v>
      </x:c>
      <x:c r="B21" s="67" t="str">
        <x:v>Research framework</x:v>
      </x:c>
      <x:c r="C21" s="67" t="str">
        <x:v>Home Builder Market Research: A Practical Framework</x:v>
      </x:c>
      <x:c r="D21" s="67" t="str">
        <x:v>/home-builder-market-research/</x:v>
      </x:c>
      <x:c r="E21" s="67" t="str">
        <x:v>Show how to define market, audience, competitors, demand signals, and evidence before making a growth claim.</x:v>
      </x:c>
      <x:c r="F21" s="67" t="str">
        <x:v>Informational</x:v>
      </x:c>
      <x:c r="G21" s="67" t="str">
        <x:v>Validate first</x:v>
      </x:c>
      <x:c r="H21" s="67" t="str">
        <x:v>Quarter 2 or 3 after proof assets</x:v>
      </x:c>
      <x:c r="I21" s="67" t="str">
        <x:v>Validate intent and methodology before production</x:v>
      </x:c>
      <x:c r="J21" s="67" t="str">
        <x:v>Plan a market research sprint</x:v>
      </x:c>
      <x:c r="K21" s="67" t="str">
        <x:v>Original methodology, sources, sample boundaries, and leadership scope</x:v>
      </x:c>
      <x:c r="L21" s="67" t="str">
        <x:v>STR-01, AUD-01, HUB-01</x:v>
      </x:c>
    </x:row>
    <x:row r="22">
      <x:c r="A22" s="67" t="str">
        <x:v>PPC-01</x:v>
      </x:c>
      <x:c r="B22" s="67" t="str">
        <x:v>Paid-media support page</x:v>
      </x:c>
      <x:c r="C22" s="67" t="str">
        <x:v>PPC for Home Builders</x:v>
      </x:c>
      <x:c r="D22" s="67" t="str">
        <x:v>/ppc-for-home-builders/</x:v>
      </x:c>
      <x:c r="E22" s="67" t="str">
        <x:v>Explain readiness, targeting constraints, landing pages, tracking, lead quality, and budget governance.</x:v>
      </x:c>
      <x:c r="F22" s="67" t="str">
        <x:v>Commercial investigation</x:v>
      </x:c>
      <x:c r="G22" s="67" t="str">
        <x:v>Backlog</x:v>
      </x:c>
      <x:c r="H22" s="67" t="str">
        <x:v>Backlog</x:v>
      </x:c>
      <x:c r="I22" s="67" t="str">
        <x:v>Deferred until conversion tracking and proof are validated</x:v>
      </x:c>
      <x:c r="J22" s="67" t="str">
        <x:v>Request a paid-media readiness review</x:v>
      </x:c>
      <x:c r="K22" s="67" t="str">
        <x:v>Current platform policy, approved offer, tracking validation, case evidence</x:v>
      </x:c>
      <x:c r="L22" s="67" t="str">
        <x:v>HUB-01, LEAD-01, ART-01</x:v>
      </x:c>
    </x:row>
    <x:row r="23">
      <x:c r="A23" s="68" t="str">
        <x:v>CONSULT-01</x:v>
      </x:c>
      <x:c r="B23" s="68" t="str">
        <x:v>Commercial service candidate</x:v>
      </x:c>
      <x:c r="C23" s="68" t="str">
        <x:v>Home Builder Marketing Consulting</x:v>
      </x:c>
      <x:c r="D23" s="68" t="str">
        <x:v>/home-builder-marketing-consulting/</x:v>
      </x:c>
      <x:c r="E23" s="68" t="str">
        <x:v>Clarify whether BigOrange offers strategy-only consulting and how it differs from managed execution.</x:v>
      </x:c>
      <x:c r="F23" s="68" t="str">
        <x:v>Commercial investigation</x:v>
      </x:c>
      <x:c r="G23" s="68" t="str">
        <x:v>Backlog</x:v>
      </x:c>
      <x:c r="H23" s="68" t="str">
        <x:v>Backlog</x:v>
      </x:c>
      <x:c r="I23" s="68" t="str">
        <x:v>Do not build until leadership confirms a distinct offer and non-cannibalizing intent</x:v>
      </x:c>
      <x:c r="J23" s="68" t="str">
        <x:v>Discuss the right engagement model</x:v>
      </x:c>
      <x:c r="K23" s="68" t="str">
        <x:v>Leadership offer, pricing, scope, and sales-process decision</x:v>
      </x:c>
      <x:c r="L23" s="68" t="str">
        <x:v>HUB-01, STR-01</x:v>
      </x:c>
    </x:row>
  </x:sheetData>
  <x:mergeCells>
    <x:mergeCell ref="A1:L1"/>
    <x:mergeCell ref="A2:L2"/>
  </x:mergeCells>
  <x:conditionalFormatting sqref="G5:I23">
    <x:cfRule type="containsText" dxfId="6" priority="1" operator="containsText" text="Complete"/>
    <x:cfRule type="containsText" dxfId="7" priority="2" operator="containsText" text="Blocked"/>
    <x:cfRule type="containsText" dxfId="8" priority="3" operator="containsText" text="Requires"/>
    <x:cfRule type="containsText" dxfId="9" priority="4" operator="containsText" text="Not included"/>
    <x:cfRule type="containsText" dxfId="10" priority="5" operator="containsText" text="Rejected"/>
    <x:cfRule type="containsText" dxfId="11" priority="6" operator="containsText" text="hold"/>
  </x:conditionalFormatting>
  <x:pageMargins left="0.7" right="0.7" top="0.75" bottom="0.75" header="0.3" footer="0.3"/>
  <x:tableParts count="1">
    <x:tablePart xmlns:r="http://schemas.openxmlformats.org/officeDocument/2006/relationships" r:id="R53f190a05cc04b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8" hidden="0" customWidth="1"/>
    <x:col min="4" max="4" width="58" hidden="0" customWidth="1"/>
    <x:col min="5" max="5" width="30" hidden="0" customWidth="1"/>
    <x:col min="6" max="6" width="42" hidden="0" customWidth="1"/>
  </x:cols>
  <x:sheetData>
    <x:row r="1" ht="34" customHeight="1">
      <x:c r="A1" s="6" t="str">
        <x:v>90-Day Content and Release Calendar</x:v>
      </x:c>
      <x:c r="B1" s="6"/>
      <x:c r="C1" s="6"/>
      <x:c r="D1" s="6"/>
      <x:c r="E1" s="6"/>
      <x:c r="F1" s="6"/>
    </x:row>
    <x:row r="2" ht="32" customHeight="1">
      <x:c r="A2" s="16" t="str">
        <x:v>The first six weeks finish and verify the approved pilot. Later weeks are next-phase options and do not become commitments without a separate scope decision.</x:v>
      </x:c>
      <x:c r="B2" s="16"/>
      <x:c r="C2" s="16"/>
      <x:c r="D2" s="16"/>
      <x:c r="E2" s="16"/>
      <x:c r="F2" s="16"/>
    </x:row>
    <x:row r="4" ht="30" customHeight="1">
      <x:c r="A4" s="90" t="str">
        <x:v>Window</x:v>
      </x:c>
      <x:c r="B4" s="90" t="str">
        <x:v>Asset / Workstream</x:v>
      </x:c>
      <x:c r="C4" s="90" t="str">
        <x:v>Scope</x:v>
      </x:c>
      <x:c r="D4" s="90" t="str">
        <x:v>Reader or Release Job</x:v>
      </x:c>
      <x:c r="E4" s="90" t="str">
        <x:v>Current State</x:v>
      </x:c>
      <x:c r="F4" s="90" t="str">
        <x:v>Approval Boundary</x:v>
      </x:c>
    </x:row>
    <x:row r="5">
      <x:c r="A5" s="66" t="str">
        <x:v>Gate 0</x:v>
      </x:c>
      <x:c r="B5" s="66" t="str">
        <x:v>Approval and source closure</x:v>
      </x:c>
      <x:c r="C5" s="66" t="str">
        <x:v>Current pilot</x:v>
      </x:c>
      <x:c r="D5" s="66" t="str">
        <x:v>Janice factual/permission review; leadership direction; staging, imagery, and owner decisions</x:v>
      </x:c>
      <x:c r="E5" s="66" t="str">
        <x:v>Blocked on reviewers</x:v>
      </x:c>
      <x:c r="F5" s="66" t="str">
        <x:v>Exact revision approval required before publication</x:v>
      </x:c>
    </x:row>
    <x:row r="6">
      <x:c r="A6" s="67" t="str">
        <x:v>Week 1</x:v>
      </x:c>
      <x:c r="B6" s="67" t="str">
        <x:v>HUB-01, ART-01, ART-02</x:v>
      </x:c>
      <x:c r="C6" s="67" t="str">
        <x:v>Current pilot</x:v>
      </x:c>
      <x:c r="D6" s="67" t="str">
        <x:v>Close copy comments, claims, FAQs, metadata, internal links, and exact WordPress targets</x:v>
      </x:c>
      <x:c r="E6" s="67" t="str">
        <x:v>Drafts ready for review</x:v>
      </x:c>
      <x:c r="F6" s="67" t="str">
        <x:v>Exact revision approval required before publication</x:v>
      </x:c>
    </x:row>
    <x:row r="7">
      <x:c r="A7" s="67" t="str">
        <x:v>Week 2</x:v>
      </x:c>
      <x:c r="B7" s="67" t="str">
        <x:v>Technical release package</x:v>
      </x:c>
      <x:c r="C7" s="67" t="str">
        <x:v>Current pilot</x:v>
      </x:c>
      <x:c r="D7" s="67" t="str">
        <x:v>Performance, accessibility, analytics, CRM, schema, canonical, sitemap, and rollback preparation</x:v>
      </x:c>
      <x:c r="E7" s="67" t="str">
        <x:v>Specification ready</x:v>
      </x:c>
      <x:c r="F7" s="67" t="str">
        <x:v>Exact revision approval required before publication</x:v>
      </x:c>
    </x:row>
    <x:row r="8">
      <x:c r="A8" s="67" t="str">
        <x:v>Week 3</x:v>
      </x:c>
      <x:c r="B8" s="67" t="str">
        <x:v>WordPress staging</x:v>
      </x:c>
      <x:c r="C8" s="67" t="str">
        <x:v>Current pilot</x:v>
      </x:c>
      <x:c r="D8" s="67" t="str">
        <x:v>Assemble the approved direction, install approved photography, and verify editable modules</x:v>
      </x:c>
      <x:c r="E8" s="67" t="str">
        <x:v>Requires staging target</x:v>
      </x:c>
      <x:c r="F8" s="67" t="str">
        <x:v>Exact revision approval required before publication</x:v>
      </x:c>
    </x:row>
    <x:row r="9">
      <x:c r="A9" s="67" t="str">
        <x:v>Week 4</x:v>
      </x:c>
      <x:c r="B9" s="67" t="str">
        <x:v>Foundation release</x:v>
      </x:c>
      <x:c r="C9" s="67" t="str">
        <x:v>Current pilot</x:v>
      </x:c>
      <x:c r="D9" s="67" t="str">
        <x:v>Run final desktop/mobile QA and publish only the approved exact revision</x:v>
      </x:c>
      <x:c r="E9" s="67" t="str">
        <x:v>Approval gated</x:v>
      </x:c>
      <x:c r="F9" s="67" t="str">
        <x:v>Exact revision approval required before publication</x:v>
      </x:c>
    </x:row>
    <x:row r="10">
      <x:c r="A10" s="67" t="str">
        <x:v>Week 5</x:v>
      </x:c>
      <x:c r="B10" s="67" t="str">
        <x:v>Release verification</x:v>
      </x:c>
      <x:c r="C10" s="67" t="str">
        <x:v>Current pilot</x:v>
      </x:c>
      <x:c r="D10" s="67" t="str">
        <x:v>Verify live metadata, schema, links, indexability, tracking, accessibility, performance, and rollback evidence</x:v>
      </x:c>
      <x:c r="E10" s="67" t="str">
        <x:v>After publication</x:v>
      </x:c>
      <x:c r="F10" s="67" t="str">
        <x:v>Exact revision approval required before publication</x:v>
      </x:c>
    </x:row>
    <x:row r="11">
      <x:c r="A11" s="67" t="str">
        <x:v>Week 6</x:v>
      </x:c>
      <x:c r="B11" s="67" t="str">
        <x:v>STR-01</x:v>
      </x:c>
      <x:c r="C11" s="67" t="str">
        <x:v>Next phase</x:v>
      </x:c>
      <x:c r="D11" s="67" t="str">
        <x:v>Build the practical marketing-plan subpillar and worksheet</x:v>
      </x:c>
      <x:c r="E11" s="67" t="str">
        <x:v>Not included in current pilot</x:v>
      </x:c>
      <x:c r="F11" s="67" t="str">
        <x:v>Separate next-phase authorization required</x:v>
      </x:c>
    </x:row>
    <x:row r="12">
      <x:c r="A12" s="67" t="str">
        <x:v>Week 7</x:v>
      </x:c>
      <x:c r="B12" s="67" t="str">
        <x:v>VIS-01</x:v>
      </x:c>
      <x:c r="C12" s="67" t="str">
        <x:v>Next phase</x:v>
      </x:c>
      <x:c r="D12" s="67" t="str">
        <x:v>Build the SEO, local, and AI visibility subpillar using refreshed official sources</x:v>
      </x:c>
      <x:c r="E12" s="67" t="str">
        <x:v>Not included in current pilot</x:v>
      </x:c>
      <x:c r="F12" s="67" t="str">
        <x:v>Separate next-phase authorization required</x:v>
      </x:c>
    </x:row>
    <x:row r="13">
      <x:c r="A13" s="67" t="str">
        <x:v>Week 8</x:v>
      </x:c>
      <x:c r="B13" s="67" t="str">
        <x:v>WEB-01</x:v>
      </x:c>
      <x:c r="C13" s="67" t="str">
        <x:v>Next phase</x:v>
      </x:c>
      <x:c r="D13" s="67" t="str">
        <x:v>Build the website design, proof, and conversion subpillar</x:v>
      </x:c>
      <x:c r="E13" s="67" t="str">
        <x:v>Not included in current pilot</x:v>
      </x:c>
      <x:c r="F13" s="67" t="str">
        <x:v>Separate next-phase authorization required</x:v>
      </x:c>
    </x:row>
    <x:row r="14">
      <x:c r="A14" s="67" t="str">
        <x:v>Week 9</x:v>
      </x:c>
      <x:c r="B14" s="67" t="str">
        <x:v>LOCAL-01</x:v>
      </x:c>
      <x:c r="C14" s="67" t="str">
        <x:v>Next phase</x:v>
      </x:c>
      <x:c r="D14" s="67" t="str">
        <x:v>Publish local-market, review, and proof guidance without duplicate city pages</x:v>
      </x:c>
      <x:c r="E14" s="67" t="str">
        <x:v>Not included in current pilot</x:v>
      </x:c>
      <x:c r="F14" s="67" t="str">
        <x:v>Separate next-phase authorization required</x:v>
      </x:c>
    </x:row>
    <x:row r="15">
      <x:c r="A15" s="67" t="str">
        <x:v>Week 10</x:v>
      </x:c>
      <x:c r="B15" s="67" t="str">
        <x:v>AUD-01</x:v>
      </x:c>
      <x:c r="C15" s="67" t="str">
        <x:v>Next phase</x:v>
      </x:c>
      <x:c r="D15" s="67" t="str">
        <x:v>Publish the target-market and buyer-segment guide after SME review</x:v>
      </x:c>
      <x:c r="E15" s="67" t="str">
        <x:v>Not included in current pilot</x:v>
      </x:c>
      <x:c r="F15" s="67" t="str">
        <x:v>Separate next-phase authorization required</x:v>
      </x:c>
    </x:row>
    <x:row r="16">
      <x:c r="A16" s="67" t="str">
        <x:v>Week 11</x:v>
      </x:c>
      <x:c r="B16" s="67" t="str">
        <x:v>LEAD-01</x:v>
      </x:c>
      <x:c r="C16" s="67" t="str">
        <x:v>Next phase</x:v>
      </x:c>
      <x:c r="D16" s="67" t="str">
        <x:v>Publish lead qualification and handoff guidance after CRM criteria are approved</x:v>
      </x:c>
      <x:c r="E16" s="67" t="str">
        <x:v>Not included in current pilot</x:v>
      </x:c>
      <x:c r="F16" s="67" t="str">
        <x:v>Separate next-phase authorization required</x:v>
      </x:c>
    </x:row>
    <x:row r="17">
      <x:c r="A17" s="68" t="str">
        <x:v>Week 12</x:v>
      </x:c>
      <x:c r="B17" s="68" t="str">
        <x:v>Quarterly authority review</x:v>
      </x:c>
      <x:c r="C17" s="68" t="str">
        <x:v>Next phase</x:v>
      </x:c>
      <x:c r="D17" s="68" t="str">
        <x:v>Review actual queries, engagement, lead quality, sales use, and content gaps; update before expanding</x:v>
      </x:c>
      <x:c r="E17" s="68" t="str">
        <x:v>No outcome forecast</x:v>
      </x:c>
      <x:c r="F17" s="68" t="str">
        <x:v>Separate next-phase authorization required</x:v>
      </x:c>
    </x:row>
  </x:sheetData>
  <x:mergeCells>
    <x:mergeCell ref="A1:F1"/>
    <x:mergeCell ref="A2:F2"/>
  </x:mergeCells>
  <x:conditionalFormatting sqref="C5:F17">
    <x:cfRule type="containsText" dxfId="12" priority="1" operator="containsText" text="Complete"/>
    <x:cfRule type="containsText" dxfId="13" priority="2" operator="containsText" text="Blocked"/>
    <x:cfRule type="containsText" dxfId="14" priority="3" operator="containsText" text="Requires"/>
    <x:cfRule type="containsText" dxfId="15" priority="4" operator="containsText" text="Not included"/>
    <x:cfRule type="containsText" dxfId="16" priority="5" operator="containsText" text="Rejected"/>
    <x:cfRule type="containsText" dxfId="17" priority="6" operator="containsText" text="hold"/>
  </x:conditionalFormatting>
  <x:pageMargins left="0.7" right="0.7" top="0.75" bottom="0.75" header="0.3" footer="0.3"/>
  <x:tableParts count="1">
    <x:tablePart xmlns:r="http://schemas.openxmlformats.org/officeDocument/2006/relationships" r:id="R318f49b121fe41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34" hidden="0" customWidth="1"/>
    <x:col min="5" max="5" width="36" hidden="0" customWidth="1"/>
    <x:col min="6" max="6" width="48" hidden="0" customWidth="1"/>
  </x:cols>
  <x:sheetData>
    <x:row r="1" ht="34" customHeight="1">
      <x:c r="A1" s="6" t="str">
        <x:v>12-Month Authority Roadmap</x:v>
      </x:c>
      <x:c r="B1" s="6"/>
      <x:c r="C1" s="6"/>
      <x:c r="D1" s="6"/>
      <x:c r="E1" s="6"/>
      <x:c r="F1" s="6"/>
    </x:row>
    <x:row r="2" ht="32" customHeight="1">
      <x:c r="A2" s="16" t="str">
        <x:v>A sustainable monthly rhythm: one substantial asset, one meaningful refresh, one proof or tool, and one measurement question. No traffic, lead, or revenue forecast is implied.</x:v>
      </x:c>
      <x:c r="B2" s="16"/>
      <x:c r="C2" s="16"/>
      <x:c r="D2" s="16"/>
      <x:c r="E2" s="16"/>
      <x:c r="F2" s="16"/>
    </x:row>
    <x:row r="4" ht="30" customHeight="1">
      <x:c r="A4" s="90" t="str">
        <x:v>Month</x:v>
      </x:c>
      <x:c r="B4" s="90" t="str">
        <x:v>Focus</x:v>
      </x:c>
      <x:c r="C4" s="90" t="str">
        <x:v>Primary Asset</x:v>
      </x:c>
      <x:c r="D4" s="90" t="str">
        <x:v>Existing Asset Refresh</x:v>
      </x:c>
      <x:c r="E4" s="90" t="str">
        <x:v>Proof or Tool</x:v>
      </x:c>
      <x:c r="F4" s="90" t="str">
        <x:v>Measurement Question</x:v>
      </x:c>
    </x:row>
    <x:row r="5">
      <x:c r="A5" s="124" t="n">
        <x:v>1</x:v>
      </x:c>
      <x:c r="B5" s="66" t="str">
        <x:v>Approve and release the foundation</x:v>
      </x:c>
      <x:c r="C5" s="66" t="str">
        <x:v>HUB-01, ART-01, ART-02</x:v>
      </x:c>
      <x:c r="D5" s="66" t="str">
        <x:v>Existing builder page</x:v>
      </x:c>
      <x:c r="E5" s="66" t="str">
        <x:v>Builder website trust checklist</x:v>
      </x:c>
      <x:c r="F5" s="66" t="str">
        <x:v>Indexation, tracking, lead-definition baseline</x:v>
      </x:c>
    </x:row>
    <x:row r="6">
      <x:c r="A6" s="125" t="n">
        <x:v>2</x:v>
      </x:c>
      <x:c r="B6" s="67" t="str">
        <x:v>Strategy and audience</x:v>
      </x:c>
      <x:c r="C6" s="67" t="str">
        <x:v>STR-01</x:v>
      </x:c>
      <x:c r="D6" s="67" t="str">
        <x:v>HUB-01 positioning</x:v>
      </x:c>
      <x:c r="E6" s="67" t="str">
        <x:v>90-day planning worksheet</x:v>
      </x:c>
      <x:c r="F6" s="67" t="str">
        <x:v>Query mix and consultation path</x:v>
      </x:c>
    </x:row>
    <x:row r="7">
      <x:c r="A7" s="125" t="n">
        <x:v>3</x:v>
      </x:c>
      <x:c r="B7" s="67" t="str">
        <x:v>Visibility</x:v>
      </x:c>
      <x:c r="C7" s="67" t="str">
        <x:v>VIS-01 and LOCAL-01</x:v>
      </x:c>
      <x:c r="D7" s="67" t="str">
        <x:v>Technical AI-search spec</x:v>
      </x:c>
      <x:c r="E7" s="67" t="str">
        <x:v>Local visibility checklist</x:v>
      </x:c>
      <x:c r="F7" s="67" t="str">
        <x:v>Search Console, local/entity consistency</x:v>
      </x:c>
    </x:row>
    <x:row r="8">
      <x:c r="A8" s="125" t="n">
        <x:v>4</x:v>
      </x:c>
      <x:c r="B8" s="67" t="str">
        <x:v>Website conversion</x:v>
      </x:c>
      <x:c r="C8" s="67" t="str">
        <x:v>WEB-01</x:v>
      </x:c>
      <x:c r="D8" s="67" t="str">
        <x:v>ART-01</x:v>
      </x:c>
      <x:c r="E8" s="67" t="str">
        <x:v>Website scorecard</x:v>
      </x:c>
      <x:c r="F8" s="67" t="str">
        <x:v>CTA path and qualified actions</x:v>
      </x:c>
    </x:row>
    <x:row r="9">
      <x:c r="A9" s="125" t="n">
        <x:v>5</x:v>
      </x:c>
      <x:c r="B9" s="67" t="str">
        <x:v>Audience fit</x:v>
      </x:c>
      <x:c r="C9" s="67" t="str">
        <x:v>AUD-01</x:v>
      </x:c>
      <x:c r="D9" s="67" t="str">
        <x:v>HUB-01 FAQs</x:v>
      </x:c>
      <x:c r="E9" s="67" t="str">
        <x:v>Buyer-segment worksheet</x:v>
      </x:c>
      <x:c r="F9" s="67" t="str">
        <x:v>Market/project fit feedback</x:v>
      </x:c>
    </x:row>
    <x:row r="10">
      <x:c r="A10" s="125" t="n">
        <x:v>6</x:v>
      </x:c>
      <x:c r="B10" s="67" t="str">
        <x:v>Lead handoff</x:v>
      </x:c>
      <x:c r="C10" s="67" t="str">
        <x:v>LEAD-01 and NUR-01</x:v>
      </x:c>
      <x:c r="D10" s="67" t="str">
        <x:v>Homearama nurture example</x:v>
      </x:c>
      <x:c r="E10" s="67" t="str">
        <x:v>Lead-quality and response matrix</x:v>
      </x:c>
      <x:c r="F10" s="67" t="str">
        <x:v>Response time, acceptance, nurture status</x:v>
      </x:c>
    </x:row>
    <x:row r="11">
      <x:c r="A11" s="125" t="n">
        <x:v>7</x:v>
      </x:c>
      <x:c r="B11" s="67" t="str">
        <x:v>Content engine</x:v>
      </x:c>
      <x:c r="C11" s="67" t="str">
        <x:v>CNT-01</x:v>
      </x:c>
      <x:c r="D11" s="67" t="str">
        <x:v>ART-02</x:v>
      </x:c>
      <x:c r="E11" s="67" t="str">
        <x:v>SME interview-to-assets map</x:v>
      </x:c>
      <x:c r="F11" s="67" t="str">
        <x:v>Editorial time, content use, assisted actions</x:v>
      </x:c>
    </x:row>
    <x:row r="12">
      <x:c r="A12" s="125" t="n">
        <x:v>8</x:v>
      </x:c>
      <x:c r="B12" s="67" t="str">
        <x:v>Automation</x:v>
      </x:c>
      <x:c r="C12" s="67" t="str">
        <x:v>AUTO-01</x:v>
      </x:c>
      <x:c r="D12" s="67" t="str">
        <x:v>Lead handoff guide</x:v>
      </x:c>
      <x:c r="E12" s="67" t="str">
        <x:v>Automation boundary checklist</x:v>
      </x:c>
      <x:c r="F12" s="67" t="str">
        <x:v>Follow-up completion and exceptions</x:v>
      </x:c>
    </x:row>
    <x:row r="13">
      <x:c r="A13" s="125" t="n">
        <x:v>9</x:v>
      </x:c>
      <x:c r="B13" s="67" t="str">
        <x:v>Visual proof</x:v>
      </x:c>
      <x:c r="C13" s="67" t="str">
        <x:v>GAL-01</x:v>
      </x:c>
      <x:c r="D13" s="67" t="str">
        <x:v>Project story modules</x:v>
      </x:c>
      <x:c r="E13" s="67" t="str">
        <x:v>Website evaluation rubric</x:v>
      </x:c>
      <x:c r="F13" s="67" t="str">
        <x:v>Project-page engagement and next steps</x:v>
      </x:c>
    </x:row>
    <x:row r="14">
      <x:c r="A14" s="125" t="n">
        <x:v>10</x:v>
      </x:c>
      <x:c r="B14" s="67" t="str">
        <x:v>Short-form distribution</x:v>
      </x:c>
      <x:c r="C14" s="67" t="str">
        <x:v>SOC-01 if separately approved</x:v>
      </x:c>
      <x:c r="D14" s="67" t="str">
        <x:v>Best-performing SME answers</x:v>
      </x:c>
      <x:c r="E14" s="67" t="str">
        <x:v>Content capture plan</x:v>
      </x:c>
      <x:c r="F14" s="67" t="str">
        <x:v>Qualified assisted visits, not vanity reach</x:v>
      </x:c>
    </x:row>
    <x:row r="15">
      <x:c r="A15" s="125" t="n">
        <x:v>11</x:v>
      </x:c>
      <x:c r="B15" s="67" t="str">
        <x:v>Platform decisions</x:v>
      </x:c>
      <x:c r="C15" s="67" t="str">
        <x:v>TPL-01 and SEOCHK-01</x:v>
      </x:c>
      <x:c r="D15" s="67" t="str">
        <x:v>WEB-01</x:v>
      </x:c>
      <x:c r="E15" s="67" t="str">
        <x:v>Platform and on-page checklists</x:v>
      </x:c>
      <x:c r="F15" s="67" t="str">
        <x:v>Decision support and sales use</x:v>
      </x:c>
    </x:row>
    <x:row r="16">
      <x:c r="A16" s="126" t="n">
        <x:v>12</x:v>
      </x:c>
      <x:c r="B16" s="68" t="str">
        <x:v>Research and consolidation</x:v>
      </x:c>
      <x:c r="C16" s="68" t="str">
        <x:v>MKTRES-01 only with a defensible method</x:v>
      </x:c>
      <x:c r="D16" s="68" t="str">
        <x:v>Cluster pruning and annual updates</x:v>
      </x:c>
      <x:c r="E16" s="68" t="str">
        <x:v>Annual authority review</x:v>
      </x:c>
      <x:c r="F16" s="68" t="str">
        <x:v>Qualified demand and assisted pipeline after validation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deaf364bc1245a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3" hidden="0" customWidth="1"/>
    <x:col min="4" max="4" width="58" hidden="0" customWidth="1"/>
    <x:col min="5" max="5" width="20" hidden="0" customWidth="1"/>
    <x:col min="6" max="6" width="12" hidden="0" customWidth="1"/>
    <x:col min="7" max="7" width="28" hidden="0" customWidth="1"/>
    <x:col min="8" max="8" width="46" hidden="0" customWidth="1"/>
    <x:col min="9" max="9" width="20" hidden="0" customWidth="1"/>
  </x:cols>
  <x:sheetData>
    <x:row r="1" ht="34" customHeight="1">
      <x:c r="A1" s="6" t="str">
        <x:v>Interview Claims and Permission Register</x:v>
      </x:c>
      <x:c r="B1" s="6"/>
      <x:c r="C1" s="6"/>
      <x:c r="D1" s="6"/>
      <x:c r="E1" s="6"/>
      <x:c r="F1" s="6"/>
      <x:c r="G1" s="6"/>
      <x:c r="H1" s="6"/>
      <x:c r="I1" s="6"/>
    </x:row>
    <x:row r="2" ht="32" customHeight="1">
      <x:c r="A2" s="16" t="str">
        <x:v>Only the Homearama example has explicit paraphrase permission. Every other interview-derived public claim remains on hold until Janice approves the edited language.</x:v>
      </x:c>
      <x:c r="B2" s="16"/>
      <x:c r="C2" s="16"/>
      <x:c r="D2" s="16"/>
      <x:c r="E2" s="16"/>
      <x:c r="F2" s="16"/>
      <x:c r="G2" s="16"/>
      <x:c r="H2" s="16"/>
      <x:c r="I2" s="16"/>
    </x:row>
    <x:row r="4" ht="30" customHeight="1">
      <x:c r="A4" s="90" t="str">
        <x:v>Claim ID</x:v>
      </x:c>
      <x:c r="B4" s="90" t="str">
        <x:v>Timestamp</x:v>
      </x:c>
      <x:c r="C4" s="90" t="str">
        <x:v>Speaker</x:v>
      </x:c>
      <x:c r="D4" s="90" t="str">
        <x:v>Working claim</x:v>
      </x:c>
      <x:c r="E4" s="90" t="str">
        <x:v>Claim type</x:v>
      </x:c>
      <x:c r="F4" s="90" t="str">
        <x:v>Permission</x:v>
      </x:c>
      <x:c r="G4" s="90" t="str">
        <x:v>Target assets</x:v>
      </x:c>
      <x:c r="H4" s="90" t="str">
        <x:v>Verification needed</x:v>
      </x:c>
      <x:c r="I4" s="90" t="str">
        <x:v>Public status</x:v>
      </x:c>
    </x:row>
    <x:row r="5">
      <x:c r="A5" s="66" t="str">
        <x:v>BO-001</x:v>
      </x:c>
      <x:c r="B5" s="66" t="str">
        <x:v>main 01:30-02:40</x:v>
      </x:c>
      <x:c r="C5" s="66" t="str">
        <x:v>Janice</x:v>
      </x:c>
      <x:c r="D5" s="66" t="str">
        <x:v>BigOrange can serve custom builders and production builders</x:v>
      </x:c>
      <x:c r="E5" s="66" t="str">
        <x:v>experience</x:v>
      </x:c>
      <x:c r="F5" s="66" t="str">
        <x:v>?</x:v>
      </x:c>
      <x:c r="G5" s="66" t="str">
        <x:v>pillar; proposal</x:v>
      </x:c>
      <x:c r="H5" s="66" t="str">
        <x:v>Janice factual review</x:v>
      </x:c>
      <x:c r="I5" s="66" t="str">
        <x:v>hold</x:v>
      </x:c>
    </x:row>
    <x:row r="6">
      <x:c r="A6" s="67" t="str">
        <x:v>BO-002</x:v>
      </x:c>
      <x:c r="B6" s="67" t="str">
        <x:v>main 02:41-03:12</x:v>
      </x:c>
      <x:c r="C6" s="67" t="str">
        <x:v>Janice</x:v>
      </x:c>
      <x:c r="D6" s="67" t="str">
        <x:v>A tentative custom-builder fit threshold may be around $8M-$12M</x:v>
      </x:c>
      <x:c r="E6" s="67" t="str">
        <x:v>internal estimate</x:v>
      </x:c>
      <x:c r="F6" s="67" t="str">
        <x:v>?</x:v>
      </x:c>
      <x:c r="G6" s="67" t="str">
        <x:v>internal qualification notes</x:v>
      </x:c>
      <x:c r="H6" s="67" t="str">
        <x:v>Margee confirmation</x:v>
      </x:c>
      <x:c r="I6" s="67" t="str">
        <x:v>internal only</x:v>
      </x:c>
    </x:row>
    <x:row r="7">
      <x:c r="A7" s="67" t="str">
        <x:v>BO-003</x:v>
      </x:c>
      <x:c r="B7" s="67" t="str">
        <x:v>main 03:35-06:02</x:v>
      </x:c>
      <x:c r="C7" s="67" t="str">
        <x:v>Janice</x:v>
      </x:c>
      <x:c r="D7" s="67" t="str">
        <x:v>Succession, drying leads, thin internal capacity, aging websites, and slowing referrals trigger the search for help</x:v>
      </x:c>
      <x:c r="E7" s="67" t="str">
        <x:v>experience pattern</x:v>
      </x:c>
      <x:c r="F7" s="67" t="str">
        <x:v>?</x:v>
      </x:c>
      <x:c r="G7" s="67" t="str">
        <x:v>pillar; FAQ; proposal</x:v>
      </x:c>
      <x:c r="H7" s="67" t="str">
        <x:v>Janice factual review</x:v>
      </x:c>
      <x:c r="I7" s="67" t="str">
        <x:v>hold</x:v>
      </x:c>
    </x:row>
    <x:row r="8">
      <x:c r="A8" s="67" t="str">
        <x:v>BO-004</x:v>
      </x:c>
      <x:c r="B8" s="67" t="str">
        <x:v>main 06:03-08:38</x:v>
      </x:c>
      <x:c r="C8" s="67" t="str">
        <x:v>Janice</x:v>
      </x:c>
      <x:c r="D8" s="67" t="str">
        <x:v>BigOrange can also support developers and master-planned communities</x:v>
      </x:c>
      <x:c r="E8" s="67" t="str">
        <x:v>experience</x:v>
      </x:c>
      <x:c r="F8" s="67" t="str">
        <x:v>?</x:v>
      </x:c>
      <x:c r="G8" s="67" t="str">
        <x:v>pillar; roadmap</x:v>
      </x:c>
      <x:c r="H8" s="67" t="str">
        <x:v>Janice factual review</x:v>
      </x:c>
      <x:c r="I8" s="67" t="str">
        <x:v>hold</x:v>
      </x:c>
    </x:row>
    <x:row r="9">
      <x:c r="A9" s="67" t="str">
        <x:v>BO-005</x:v>
      </x:c>
      <x:c r="B9" s="67" t="str">
        <x:v>main 12:13-15:16</x:v>
      </x:c>
      <x:c r="C9" s="67" t="str">
        <x:v>Janice</x:v>
      </x:c>
      <x:c r="D9" s="67" t="str">
        <x:v>Project photography, an active web/social presence, personality fit, and local show-home proof build trust</x:v>
      </x:c>
      <x:c r="E9" s="67" t="str">
        <x:v>professional opinion</x:v>
      </x:c>
      <x:c r="F9" s="67" t="str">
        <x:v>?</x:v>
      </x:c>
      <x:c r="G9" s="67" t="str">
        <x:v>pillar; article 1; FAQ</x:v>
      </x:c>
      <x:c r="H9" s="67" t="str">
        <x:v>Janice factual review</x:v>
      </x:c>
      <x:c r="I9" s="67" t="str">
        <x:v>hold</x:v>
      </x:c>
    </x:row>
    <x:row r="10">
      <x:c r="A10" s="67" t="str">
        <x:v>BO-006</x:v>
      </x:c>
      <x:c r="B10" s="67" t="str">
        <x:v>main 15:22-18:07</x:v>
      </x:c>
      <x:c r="C10" s="67" t="str">
        <x:v>Janice</x:v>
      </x:c>
      <x:c r="D10" s="67" t="str">
        <x:v>Generic craftsmanship/design/process claims become distinct only through discovery, customer interviews, and a verifiable operating difference</x:v>
      </x:c>
      <x:c r="E10" s="67" t="str">
        <x:v>process</x:v>
      </x:c>
      <x:c r="F10" s="67" t="str">
        <x:v>?</x:v>
      </x:c>
      <x:c r="G10" s="67" t="str">
        <x:v>pillar; workflow</x:v>
      </x:c>
      <x:c r="H10" s="67" t="str">
        <x:v>Janice factual review</x:v>
      </x:c>
      <x:c r="I10" s="67" t="str">
        <x:v>hold</x:v>
      </x:c>
    </x:row>
    <x:row r="11">
      <x:c r="A11" s="67" t="str">
        <x:v>BO-007</x:v>
      </x:c>
      <x:c r="B11" s="67" t="str">
        <x:v>main 18:09-19:31</x:v>
      </x:c>
      <x:c r="C11" s="67" t="str">
        <x:v>Janice</x:v>
      </x:c>
      <x:c r="D11" s="67" t="str">
        <x:v>Referrals become insufficient when leads dry up, relocating buyers lack a local network, or the company wants to change its service mix</x:v>
      </x:c>
      <x:c r="E11" s="67" t="str">
        <x:v>professional opinion</x:v>
      </x:c>
      <x:c r="F11" s="67" t="str">
        <x:v>?</x:v>
      </x:c>
      <x:c r="G11" s="67" t="str">
        <x:v>pillar; FAQ; article brief</x:v>
      </x:c>
      <x:c r="H11" s="67" t="str">
        <x:v>Janice factual review</x:v>
      </x:c>
      <x:c r="I11" s="67" t="str">
        <x:v>hold</x:v>
      </x:c>
    </x:row>
    <x:row r="12">
      <x:c r="A12" s="67" t="str">
        <x:v>BO-008</x:v>
      </x:c>
      <x:c r="B12" s="67" t="str">
        <x:v>main 19:33-22:11</x:v>
      </x:c>
      <x:c r="C12" s="67" t="str">
        <x:v>Janice</x:v>
      </x:c>
      <x:c r="D12" s="67" t="str">
        <x:v>The first screen should lead with excellent project photography; finished/furnished, twilight, and behind-the-scenes images each have a role</x:v>
      </x:c>
      <x:c r="E12" s="67" t="str">
        <x:v>professional opinion</x:v>
      </x:c>
      <x:c r="F12" s="67" t="str">
        <x:v>?</x:v>
      </x:c>
      <x:c r="G12" s="67" t="str">
        <x:v>pillar; article 1; image plan</x:v>
      </x:c>
      <x:c r="H12" s="67" t="str">
        <x:v>Janice factual review</x:v>
      </x:c>
      <x:c r="I12" s="67" t="str">
        <x:v>hold</x:v>
      </x:c>
    </x:row>
    <x:row r="13">
      <x:c r="A13" s="67" t="str">
        <x:v>BO-009</x:v>
      </x:c>
      <x:c r="B13" s="67" t="str">
        <x:v>main 22:13-25:28</x:v>
      </x:c>
      <x:c r="C13" s="67" t="str">
        <x:v>Janice</x:v>
      </x:c>
      <x:c r="D13" s="67" t="str">
        <x:v>Pricing guidance, site work, permits, architect/design-build relationships, and land questions deserve direct public answers</x:v>
      </x:c>
      <x:c r="E13" s="67" t="str">
        <x:v>professional opinion</x:v>
      </x:c>
      <x:c r="F13" s="67" t="str">
        <x:v>?</x:v>
      </x:c>
      <x:c r="G13" s="67" t="str">
        <x:v>article 1; article 2; FAQ</x:v>
      </x:c>
      <x:c r="H13" s="67" t="str">
        <x:v>Janice factual review</x:v>
      </x:c>
      <x:c r="I13" s="67" t="str">
        <x:v>hold</x:v>
      </x:c>
    </x:row>
    <x:row r="14">
      <x:c r="A14" s="67" t="str">
        <x:v>BO-010</x:v>
      </x:c>
      <x:c r="B14" s="67" t="str">
        <x:v>main 25:31-26:32</x:v>
      </x:c>
      <x:c r="C14" s="67" t="str">
        <x:v>Janice</x:v>
      </x:c>
      <x:c r="D14" s="67" t="str">
        <x:v>A builder does not perform every specialty personally; marketing can also be contracted to a specialist</x:v>
      </x:c>
      <x:c r="E14" s="67" t="str">
        <x:v>professional opinion</x:v>
      </x:c>
      <x:c r="F14" s="67" t="str">
        <x:v>?</x:v>
      </x:c>
      <x:c r="G14" s="67" t="str">
        <x:v>pillar; objection sheet</x:v>
      </x:c>
      <x:c r="H14" s="67" t="str">
        <x:v>Janice factual review</x:v>
      </x:c>
      <x:c r="I14" s="67" t="str">
        <x:v>hold</x:v>
      </x:c>
    </x:row>
    <x:row r="15">
      <x:c r="A15" s="67" t="str">
        <x:v>BO-011</x:v>
      </x:c>
      <x:c r="B15" s="67" t="str">
        <x:v>main 26:28-27:18</x:v>
      </x:c>
      <x:c r="C15" s="67" t="str">
        <x:v>Janice</x:v>
      </x:c>
      <x:c r="D15" s="67" t="str">
        <x:v>Referrals and work that 'speaks for itself' do not reach people who have never seen the builder</x:v>
      </x:c>
      <x:c r="E15" s="67" t="str">
        <x:v>professional opinion</x:v>
      </x:c>
      <x:c r="F15" s="67" t="str">
        <x:v>?</x:v>
      </x:c>
      <x:c r="G15" s="67" t="str">
        <x:v>pillar; FAQ</x:v>
      </x:c>
      <x:c r="H15" s="67" t="str">
        <x:v>Janice factual review</x:v>
      </x:c>
      <x:c r="I15" s="67" t="str">
        <x:v>hold</x:v>
      </x:c>
    </x:row>
    <x:row r="16">
      <x:c r="A16" s="67" t="str">
        <x:v>BO-012</x:v>
      </x:c>
      <x:c r="B16" s="67" t="str">
        <x:v>main 29:21-29:52</x:v>
      </x:c>
      <x:c r="C16" s="67" t="str">
        <x:v>Janice</x:v>
      </x:c>
      <x:c r="D16" s="67" t="str">
        <x:v>Natural market terms include move-up buyers, custom homes, executive homes, estates, and luxury</x:v>
      </x:c>
      <x:c r="E16" s="67" t="str">
        <x:v>terminology</x:v>
      </x:c>
      <x:c r="F16" s="67" t="str">
        <x:v>?</x:v>
      </x:c>
      <x:c r="G16" s="67" t="str">
        <x:v>keyword copy map</x:v>
      </x:c>
      <x:c r="H16" s="67" t="str">
        <x:v>Janice factual review</x:v>
      </x:c>
      <x:c r="I16" s="67" t="str">
        <x:v>hold</x:v>
      </x:c>
    </x:row>
    <x:row r="17">
      <x:c r="A17" s="67" t="str">
        <x:v>BO-013</x:v>
      </x:c>
      <x:c r="B17" s="67" t="str">
        <x:v>main 31:41-32:29</x:v>
      </x:c>
      <x:c r="C17" s="67" t="str">
        <x:v>Janice</x:v>
      </x:c>
      <x:c r="D17" s="67" t="str">
        <x:v>An MQL has raised a hand; marketing brings leads and sales must follow up</x:v>
      </x:c>
      <x:c r="E17" s="67" t="str">
        <x:v>process</x:v>
      </x:c>
      <x:c r="F17" s="67" t="str">
        <x:v>?</x:v>
      </x:c>
      <x:c r="G17" s="67" t="str">
        <x:v>measurement plan; FAQ</x:v>
      </x:c>
      <x:c r="H17" s="67" t="str">
        <x:v>Complete lead-quality definition</x:v>
      </x:c>
      <x:c r="I17" s="67" t="str">
        <x:v>hold</x:v>
      </x:c>
    </x:row>
    <x:row r="18">
      <x:c r="A18" s="67" t="str">
        <x:v>BO-014</x:v>
      </x:c>
      <x:c r="B18" s="67" t="str">
        <x:v>overflow 00:00-00:40</x:v>
      </x:c>
      <x:c r="C18" s="67" t="str">
        <x:v>Janice</x:v>
      </x:c>
      <x:c r="D18" s="67" t="str">
        <x:v>Ninety days is short; a launched website is a healthy early state and six months is more realistic for momentum</x:v>
      </x:c>
      <x:c r="E18" s="67" t="str">
        <x:v>professional opinion</x:v>
      </x:c>
      <x:c r="F18" s="67" t="str">
        <x:v>?</x:v>
      </x:c>
      <x:c r="G18" s="67" t="str">
        <x:v>proposal; roadmap; FAQ</x:v>
      </x:c>
      <x:c r="H18" s="67" t="str">
        <x:v>Janice factual review</x:v>
      </x:c>
      <x:c r="I18" s="67" t="str">
        <x:v>hold</x:v>
      </x:c>
    </x:row>
    <x:row r="19">
      <x:c r="A19" s="67" t="str">
        <x:v>BO-015</x:v>
      </x:c>
      <x:c r="B19" s="67" t="str">
        <x:v>overflow 00:40-02:10</x:v>
      </x:c>
      <x:c r="C19" s="67" t="str">
        <x:v>Janice</x:v>
      </x:c>
      <x:c r="D19" s="67" t="str">
        <x:v>BigOrange paired a pre-Homearama website refresh with email nurture to handle a large, mostly unqualified event audience</x:v>
      </x:c>
      <x:c r="E19" s="67" t="str">
        <x:v>client example</x:v>
      </x:c>
      <x:c r="F19" s="67" t="str">
        <x:v>P</x:v>
      </x:c>
      <x:c r="G19" s="67" t="str">
        <x:v>pillar; proposal; case-study lead</x:v>
      </x:c>
      <x:c r="H19" s="67" t="str">
        <x:v>Verify event, client, timeframe, and any number before use; anonymize unless separately approved</x:v>
      </x:c>
      <x:c r="I19" s="67" t="str">
        <x:v>paraphrase draft</x:v>
      </x:c>
    </x:row>
    <x:row r="20">
      <x:c r="A20" s="68" t="str">
        <x:v>BO-016</x:v>
      </x:c>
      <x:c r="B20" s="68" t="str">
        <x:v>overflow 02:10-02:31</x:v>
      </x:c>
      <x:c r="C20" s="68" t="str">
        <x:v>Janice</x:v>
      </x:c>
      <x:c r="D20" s="68" t="str">
        <x:v>Cinematic Authority is Janice's likely preference; Margee and Paula decide</x:v>
      </x:c>
      <x:c r="E20" s="68" t="str">
        <x:v>visual input</x:v>
      </x:c>
      <x:c r="F20" s="68" t="str">
        <x:v>I</x:v>
      </x:c>
      <x:c r="G20" s="68" t="str">
        <x:v>leadership packet</x:v>
      </x:c>
      <x:c r="H20" s="68" t="str">
        <x:v>Margee and Paula decision</x:v>
      </x:c>
      <x:c r="I20" s="68" t="str">
        <x:v>internal decision input</x:v>
      </x:c>
    </x:row>
  </x:sheetData>
  <x:mergeCells>
    <x:mergeCell ref="A1:I1"/>
    <x:mergeCell ref="A2:I2"/>
  </x:mergeCells>
  <x:conditionalFormatting sqref="F5:I20">
    <x:cfRule type="containsText" dxfId="18" priority="1" operator="containsText" text="Complete"/>
    <x:cfRule type="containsText" dxfId="19" priority="2" operator="containsText" text="Blocked"/>
    <x:cfRule type="containsText" dxfId="20" priority="3" operator="containsText" text="Requires"/>
    <x:cfRule type="containsText" dxfId="21" priority="4" operator="containsText" text="Not included"/>
    <x:cfRule type="containsText" dxfId="22" priority="5" operator="containsText" text="Rejected"/>
    <x:cfRule type="containsText" dxfId="23" priority="6" operator="containsText" text="hold"/>
  </x:conditionalFormatting>
  <x:pageMargins left="0.7" right="0.7" top="0.75" bottom="0.75" header="0.3" footer="0.3"/>
  <x:tableParts count="1">
    <x:tablePart xmlns:r="http://schemas.openxmlformats.org/officeDocument/2006/relationships" r:id="R5ae299aec77644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42" hidden="0" customWidth="1"/>
    <x:col min="4" max="4" width="46" hidden="0" customWidth="1"/>
    <x:col min="5" max="5" width="66" hidden="0" customWidth="1"/>
  </x:cols>
  <x:sheetData>
    <x:row r="1" ht="34" customHeight="1">
      <x:c r="A1" s="6" t="str">
        <x:v>Sources, Freshness, and Operating Rules</x:v>
      </x:c>
      <x:c r="B1" s="6"/>
      <x:c r="C1" s="6"/>
      <x:c r="D1" s="6"/>
      <x:c r="E1" s="6"/>
    </x:row>
    <x:row r="2" ht="32" customHeight="1">
      <x:c r="A2" s="16" t="str">
        <x:v>The workbook separates current live verification from dated keyword exports, professional opinion, and approval-gated client evidence.</x:v>
      </x:c>
      <x:c r="B2" s="16"/>
      <x:c r="C2" s="16"/>
      <x:c r="D2" s="16"/>
      <x:c r="E2" s="16"/>
    </x:row>
    <x:row r="4" ht="30" customHeight="1">
      <x:c r="A4" s="90" t="str">
        <x:v>Source</x:v>
      </x:c>
      <x:c r="B4" s="90" t="str">
        <x:v>Evidence Date</x:v>
      </x:c>
      <x:c r="C4" s="90" t="str">
        <x:v>Use</x:v>
      </x:c>
      <x:c r="D4" s="90" t="str">
        <x:v>Boundary</x:v>
      </x:c>
      <x:c r="E4" s="90" t="str">
        <x:v>URL or Local Locator</x:v>
      </x:c>
    </x:row>
    <x:row r="5">
      <x:c r="A5" s="79" t="str">
        <x:v>Janice call recordings</x:v>
      </x:c>
      <x:c r="B5" s="79" t="str">
        <x:v>2026-08-28</x:v>
      </x:c>
      <x:c r="C5" s="79" t="str">
        <x:v>Audience, trust, objections, website, timing, example</x:v>
      </x:c>
      <x:c r="D5" s="79" t="str">
        <x:v>Most public permission unresolved</x:v>
      </x:c>
      <x:c r="E5" s="79" t="str">
        <x:v>Local evidence/transcript-synthesis.md</x:v>
      </x:c>
    </x:row>
    <x:row r="6">
      <x:c r="A6" s="79" t="str">
        <x:v>Approved paid-pilot proposal</x:v>
      </x:c>
      <x:c r="B6" s="79" t="str">
        <x:v>Reconciled 2026-08-03</x:v>
      </x:c>
      <x:c r="C6" s="79" t="str">
        <x:v>Scope, 35 hours, $30/hour, $1,050</x:v>
      </x:c>
      <x:c r="D6" s="79" t="str">
        <x:v>Invoice/payment and acceptance mechanics open</x:v>
      </x:c>
      <x:c r="E6" s="79" t="str">
        <x:v>gdoc://1_rv8nGWdb6X5QxdByBhLDSQrvEVkRCD853ByH_aYjhA</x:v>
      </x:c>
    </x:row>
    <x:row r="7">
      <x:c r="A7" s="79" t="str">
        <x:v>Semrush keyword map</x:v>
      </x:c>
      <x:c r="B7" s="79" t="str">
        <x:v>2026-08-04</x:v>
      </x:c>
      <x:c r="C7" s="79" t="str">
        <x:v>Demand, intent, difficulty, CPC</x:v>
      </x:c>
      <x:c r="D7" s="79" t="str">
        <x:v>Dated source; not a forecast</x:v>
      </x:c>
      <x:c r="E7" s="79" t="str">
        <x:v>keyword-opportunity-map-reconciled-2026-08-20.csv</x:v>
      </x:c>
    </x:row>
    <x:row r="8">
      <x:c r="A8" s="79" t="str">
        <x:v>Moz rankings export</x:v>
      </x:c>
      <x:c r="B8" s="79" t="str">
        <x:v>2026-08-14</x:v>
      </x:c>
      <x:c r="C8" s="79" t="str">
        <x:v>Protect existing commercial mappings</x:v>
      </x:c>
      <x:c r="D8" s="79" t="str">
        <x:v>Dated evidence; blank is not zero</x:v>
      </x:c>
      <x:c r="E8" s="79" t="str">
        <x:v>2026-08-17-moz-bom-rankings.csv</x:v>
      </x:c>
    </x:row>
    <x:row r="9">
      <x:c r="A9" s="79" t="str">
        <x:v>Current builder page</x:v>
      </x:c>
      <x:c r="B9" s="79" t="str">
        <x:v>2026-08-28</x:v>
      </x:c>
      <x:c r="C9" s="79" t="str">
        <x:v>Live title, canonical, page content, proof</x:v>
      </x:c>
      <x:c r="D9" s="79" t="str">
        <x:v>Current live state, not approved replacement</x:v>
      </x:c>
      <x:c r="E9" s="79" t="str">
        <x:v>https://bigorange.marketing/marketing-agency-for-builders/</x:v>
      </x:c>
    </x:row>
    <x:row r="10">
      <x:c r="A10" s="79" t="str">
        <x:v>BigOrange robots.txt</x:v>
      </x:c>
      <x:c r="B10" s="79" t="str">
        <x:v>2026-08-28</x:v>
      </x:c>
      <x:c r="C10" s="79" t="str">
        <x:v>Crawler policy</x:v>
      </x:c>
      <x:c r="D10" s="79" t="str">
        <x:v>Policy decision; do not change reflexively</x:v>
      </x:c>
      <x:c r="E10" s="79" t="str">
        <x:v>https://bigorange.marketing/robots.txt</x:v>
      </x:c>
    </x:row>
    <x:row r="11">
      <x:c r="A11" s="79" t="str">
        <x:v>Google AI optimization guide</x:v>
      </x:c>
      <x:c r="B11" s="79" t="str">
        <x:v>Verified 2026-08-28</x:v>
      </x:c>
      <x:c r="C11" s="79" t="str">
        <x:v>Current generative-search guidance</x:v>
      </x:c>
      <x:c r="D11" s="79" t="str">
        <x:v>SEO fundamentals, useful original content, no hacks</x:v>
      </x:c>
      <x:c r="E11" s="79" t="str">
        <x:v>https://developers.google.com/search/docs/fundamentals/ai-optimization-guide</x:v>
      </x:c>
    </x:row>
    <x:row r="12">
      <x:c r="A12" s="79" t="str">
        <x:v>Google canonical guidance</x:v>
      </x:c>
      <x:c r="B12" s="79" t="str">
        <x:v>Verified 2026-08-28</x:v>
      </x:c>
      <x:c r="C12" s="79" t="str">
        <x:v>Preserve one representative URL</x:v>
      </x:c>
      <x:c r="D12" s="79" t="str">
        <x:v>Canonical is a signal, not a guarantee</x:v>
      </x:c>
      <x:c r="E12" s="79" t="str">
        <x:v>https://developers.google.com/search/docs/crawling-indexing/consolidate-duplicate-urls</x:v>
      </x:c>
    </x:row>
    <x:row r="13">
      <x:c r="A13" s="79" t="str">
        <x:v>Google FAQ rich-result change</x:v>
      </x:c>
      <x:c r="B13" s="79" t="str">
        <x:v>Verified 2026-08-28</x:v>
      </x:c>
      <x:c r="C13" s="79" t="str">
        <x:v>Expectation setting</x:v>
      </x:c>
      <x:c r="D13" s="79" t="str">
        <x:v>FAQ markup does not promise a result</x:v>
      </x:c>
      <x:c r="E13" s="79" t="str">
        <x:v>https://developers.google.com/search/blog/2023/08/howto-faq-changes</x:v>
      </x:c>
    </x:row>
    <x:row r="14">
      <x:c r="A14" s="79" t="str">
        <x:v>Web Vitals</x:v>
      </x:c>
      <x:c r="B14" s="79" t="str">
        <x:v>Verified 2026-08-28</x:v>
      </x:c>
      <x:c r="C14" s="79" t="str">
        <x:v>Field measurement guidance</x:v>
      </x:c>
      <x:c r="D14" s="79" t="str">
        <x:v>Use field data for actual pass/fail</x:v>
      </x:c>
      <x:c r="E14" s="79" t="str">
        <x:v>https://web.dev/articles/vitals</x:v>
      </x:c>
    </x:row>
    <x:row r="17" ht="24" customHeight="1">
      <x:c r="A17" s="50" t="str">
        <x:v>CANNIBALIZATION AND PUBLICATION RULES</x:v>
      </x:c>
      <x:c r="B17" s="50"/>
      <x:c r="C17" s="50"/>
      <x:c r="D17" s="50"/>
      <x:c r="E17" s="50"/>
    </x:row>
    <x:row r="18">
      <x:c r="A18" s="79" t="n">
        <x:v>1</x:v>
      </x:c>
      <x:c r="B18" s="79" t="str">
        <x:v>HUB-01 owns agency, company, firm, services, solutions, system, and broad home-builder-marketing commercial variations.</x:v>
      </x:c>
      <x:c r="C18" s="79"/>
      <x:c r="D18" s="79"/>
      <x:c r="E18" s="79"/>
    </x:row>
    <x:row r="19">
      <x:c r="A19" s="79" t="n">
        <x:v>2</x:v>
      </x:c>
      <x:c r="B19" s="79" t="str">
        <x:v>ART-01 owns the diagnostic intent around a website not generating leads and website optimization; WEB-01 owns design, development, and service-comparison intent.</x:v>
      </x:c>
      <x:c r="C19" s="79"/>
      <x:c r="D19" s="79"/>
      <x:c r="E19" s="79"/>
    </x:row>
    <x:row r="20">
      <x:c r="A20" s="79" t="n">
        <x:v>3</x:v>
      </x:c>
      <x:c r="B20" s="79" t="str">
        <x:v>ART-02 owns home builder blog and editorial-ideas intent; CNT-01 owns the broader content-marketing operating system.</x:v>
      </x:c>
      <x:c r="C20" s="79"/>
      <x:c r="D20" s="79"/>
      <x:c r="E20" s="79"/>
    </x:row>
    <x:row r="21">
      <x:c r="A21" s="79" t="n">
        <x:v>4</x:v>
      </x:c>
      <x:c r="B21" s="79" t="str">
        <x:v>VIS-01 owns broad SEO and digital-visibility intent; LOCAL-01 owns local SEO; SEOCHK-01 owns the narrow on-page phrase/checklist intent.</x:v>
      </x:c>
      <x:c r="C21" s="79"/>
      <x:c r="D21" s="79"/>
      <x:c r="E21" s="79"/>
    </x:row>
    <x:row r="22">
      <x:c r="A22" s="79" t="n">
        <x:v>5</x:v>
      </x:c>
      <x:c r="B22" s="79" t="str">
        <x:v>STR-01 owns marketing plans, strategies, and tips; AUD-01 owns market segments and new-builder audience framing.</x:v>
      </x:c>
      <x:c r="C22" s="79"/>
      <x:c r="D22" s="79"/>
      <x:c r="E22" s="79"/>
    </x:row>
    <x:row r="23">
      <x:c r="A23" s="79" t="n">
        <x:v>6</x:v>
      </x:c>
      <x:c r="B23" s="79" t="str">
        <x:v>No asset is published until its reader job, primary query, canonical, and reciprocal internal links are documented.</x:v>
      </x:c>
      <x:c r="C23" s="79"/>
      <x:c r="D23" s="79"/>
      <x:c r="E23" s="79"/>
    </x:row>
    <x:row r="24">
      <x:c r="A24" s="79" t="n">
        <x:v>7</x:v>
      </x:c>
      <x:c r="B24" s="79" t="str">
        <x:v>Reject generic-agency and consumer-builder queries rather than bending the pillar toward the wrong audience.</x:v>
      </x:c>
      <x:c r="C24" s="79"/>
      <x:c r="D24" s="79"/>
      <x:c r="E24" s="79"/>
    </x:row>
  </x:sheetData>
  <x:mergeCells>
    <x:mergeCell ref="A1:E1"/>
    <x:mergeCell ref="A2:E2"/>
    <x:mergeCell ref="A17:E17"/>
    <x:mergeCell ref="B18:E18"/>
    <x:mergeCell ref="B19:E19"/>
    <x:mergeCell ref="B20:E20"/>
    <x:mergeCell ref="B21:E21"/>
    <x:mergeCell ref="B22:E22"/>
    <x:mergeCell ref="B23:E23"/>
    <x:mergeCell ref="B24:E24"/>
  </x:mergeCells>
  <x:pageMargins left="0.7" right="0.7" top="0.75" bottom="0.75" header="0.3" footer="0.3"/>
</x:worksheet>
</file>