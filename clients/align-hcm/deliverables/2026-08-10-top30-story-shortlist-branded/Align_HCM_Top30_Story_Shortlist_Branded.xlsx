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30 Shortlist" sheetId="1" state="visible" r:id="rId1"/>
    <sheet name="Reference Candidates" sheetId="2" state="visible" r:id="rId2"/>
    <sheet name="Representation Gaps" sheetId="3" state="visible" r:id="rId3"/>
    <sheet name="Read Me" sheetId="4" state="visible" r:id="rId4"/>
  </sheets>
  <definedNames>
    <definedName name="_xlnm._FilterDatabase" localSheetId="0" hidden="1">'Top 30 Shortlist'!$A$7:$T$37</definedName>
  </definedNames>
  <calcPr calcId="124519" fullCalcOnLoad="1"/>
</workbook>
</file>

<file path=xl/styles.xml><?xml version="1.0" encoding="utf-8"?>
<styleSheet xmlns="http://schemas.openxmlformats.org/spreadsheetml/2006/main">
  <numFmts count="1">
    <numFmt numFmtId="164" formatCode="$#,##0"/>
  </numFmts>
  <fonts count="20">
    <font>
      <name val="Calibri"/>
      <family val="2"/>
      <color theme="1"/>
      <sz val="11"/>
      <scheme val="minor"/>
    </font>
    <font>
      <name val="Arial"/>
      <b val="1"/>
      <color rgb="00FF6B2B"/>
      <sz val="8"/>
    </font>
    <font>
      <name val="Arial"/>
      <b val="1"/>
      <color rgb="00FFFFFF"/>
      <sz val="16"/>
    </font>
    <font>
      <name val="Arial"/>
      <color rgb="00B9C6D8"/>
      <sz val="9"/>
    </font>
    <font>
      <name val="Arial"/>
      <b val="1"/>
      <color rgb="00AD3D1B"/>
      <sz val="9"/>
    </font>
    <font>
      <name val="Arial"/>
      <b val="1"/>
      <color rgb="00FFFFFF"/>
      <sz val="9"/>
    </font>
    <font>
      <name val="Arial"/>
      <b val="1"/>
      <color rgb="00F05A28"/>
      <sz val="9"/>
    </font>
    <font>
      <name val="Arial"/>
      <color rgb="00646E7C"/>
      <sz val="9"/>
    </font>
    <font>
      <name val="Arial"/>
      <b val="1"/>
      <color rgb="000A1628"/>
      <sz val="9"/>
    </font>
    <font>
      <name val="Arial"/>
      <color rgb="002D3748"/>
      <sz val="9"/>
    </font>
    <font>
      <name val="Arial"/>
      <b val="1"/>
      <color rgb="001B4F72"/>
      <sz val="9"/>
    </font>
    <font>
      <name val="Arial"/>
      <b val="1"/>
      <color rgb="002D3748"/>
      <sz val="9"/>
    </font>
    <font>
      <name val="Arial"/>
      <color rgb="00AD3D1B"/>
      <sz val="9"/>
    </font>
    <font>
      <name val="Arial"/>
      <color rgb="001B4F72"/>
      <sz val="9"/>
    </font>
    <font>
      <name val="Arial"/>
      <color rgb="00136E61"/>
      <sz val="9"/>
    </font>
    <font>
      <name val="Arial"/>
      <color rgb="00F05A28"/>
      <sz val="9"/>
    </font>
    <font>
      <name val="Arial"/>
      <b val="1"/>
      <color rgb="00AD3D1B"/>
      <sz val="10"/>
    </font>
    <font>
      <name val="Arial"/>
      <i val="1"/>
      <color rgb="00646E7C"/>
      <sz val="8"/>
    </font>
    <font>
      <name val="Arial"/>
      <b val="1"/>
      <color rgb="00136E61"/>
      <sz val="9"/>
    </font>
    <font>
      <name val="Arial"/>
      <b val="1"/>
      <color rgb="00AD3D1B"/>
      <sz val="11"/>
    </font>
  </fonts>
  <fills count="8">
    <fill>
      <patternFill/>
    </fill>
    <fill>
      <patternFill patternType="gray125"/>
    </fill>
    <fill>
      <patternFill patternType="solid">
        <fgColor rgb="000A1628"/>
      </patternFill>
    </fill>
    <fill>
      <patternFill patternType="solid">
        <fgColor rgb="00FDF1EA"/>
      </patternFill>
    </fill>
    <fill>
      <patternFill patternType="solid">
        <fgColor rgb="00FCFAF7"/>
      </patternFill>
    </fill>
    <fill>
      <patternFill patternType="solid">
        <fgColor rgb="00FFF2CC"/>
      </patternFill>
    </fill>
    <fill>
      <patternFill patternType="solid">
        <fgColor rgb="00F5F1EA"/>
      </patternFill>
    </fill>
    <fill>
      <patternFill patternType="solid">
        <fgColor rgb="00F4EFE7"/>
      </patternFill>
    </fill>
  </fills>
  <borders count="4">
    <border>
      <left/>
      <right/>
      <top/>
      <bottom/>
      <diagonal/>
    </border>
    <border>
      <bottom style="medium">
        <color rgb="00F05A28"/>
      </bottom>
    </border>
    <border>
      <bottom style="thin">
        <color rgb="00E9E4DC"/>
      </bottom>
    </border>
    <border>
      <top style="double">
        <color rgb="00F05A28"/>
      </top>
    </border>
  </borders>
  <cellStyleXfs count="1">
    <xf numFmtId="0" fontId="0" fillId="0" borderId="0"/>
  </cellStyleXfs>
  <cellXfs count="60">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3" borderId="0" pivotButton="0" quotePrefix="0" xfId="0"/>
    <xf numFmtId="0" fontId="0" fillId="3" borderId="0" pivotButton="0" quotePrefix="0" xfId="0"/>
    <xf numFmtId="0" fontId="0" fillId="4" borderId="0" pivotButton="0" quotePrefix="0" xfId="0"/>
    <xf numFmtId="0" fontId="5" fillId="2" borderId="1" applyAlignment="1" pivotButton="0" quotePrefix="0" xfId="0">
      <alignment vertical="center" wrapText="1"/>
    </xf>
    <xf numFmtId="0" fontId="6" fillId="4" borderId="2" applyAlignment="1" pivotButton="0" quotePrefix="0" xfId="0">
      <alignment horizontal="center" vertical="center" wrapText="1"/>
    </xf>
    <xf numFmtId="0" fontId="7" fillId="4" borderId="2" applyAlignment="1" pivotButton="0" quotePrefix="0" xfId="0">
      <alignment vertical="center" wrapText="1"/>
    </xf>
    <xf numFmtId="0" fontId="8" fillId="4" borderId="2" applyAlignment="1" pivotButton="0" quotePrefix="0" xfId="0">
      <alignment vertical="center" wrapText="1"/>
    </xf>
    <xf numFmtId="0" fontId="9" fillId="4" borderId="2" applyAlignment="1" pivotButton="0" quotePrefix="0" xfId="0">
      <alignment vertical="center" wrapText="1"/>
    </xf>
    <xf numFmtId="0" fontId="10" fillId="4" borderId="2" applyAlignment="1" pivotButton="0" quotePrefix="0" xfId="0">
      <alignment vertical="center" wrapText="1"/>
    </xf>
    <xf numFmtId="1" fontId="9" fillId="4" borderId="2" applyAlignment="1" pivotButton="0" quotePrefix="0" xfId="0">
      <alignment horizontal="center" vertical="center" wrapText="1"/>
    </xf>
    <xf numFmtId="164" fontId="11" fillId="4" borderId="2" applyAlignment="1" pivotButton="0" quotePrefix="0" xfId="0">
      <alignment horizontal="right" vertical="center" wrapText="1"/>
    </xf>
    <xf numFmtId="0" fontId="7" fillId="4" borderId="2" applyAlignment="1" pivotButton="0" quotePrefix="0" xfId="0">
      <alignment horizontal="center" vertical="center" wrapText="1"/>
    </xf>
    <xf numFmtId="0" fontId="12" fillId="4" borderId="2" applyAlignment="1" pivotButton="0" quotePrefix="0" xfId="0">
      <alignment vertical="center" wrapText="1"/>
    </xf>
    <xf numFmtId="0" fontId="9" fillId="5" borderId="2" applyAlignment="1" pivotButton="0" quotePrefix="0" xfId="0">
      <alignment vertical="center" wrapText="1"/>
    </xf>
    <xf numFmtId="0" fontId="13" fillId="4" borderId="2" applyAlignment="1" pivotButton="0" quotePrefix="0" xfId="0">
      <alignment vertical="center" wrapText="1"/>
    </xf>
    <xf numFmtId="3" fontId="7" fillId="4" borderId="2" applyAlignment="1" pivotButton="0" quotePrefix="0" xfId="0">
      <alignment horizontal="right" vertical="center" wrapText="1"/>
    </xf>
    <xf numFmtId="0" fontId="6" fillId="6" borderId="2" applyAlignment="1" pivotButton="0" quotePrefix="0" xfId="0">
      <alignment horizontal="center" vertical="center" wrapText="1"/>
    </xf>
    <xf numFmtId="0" fontId="7" fillId="6" borderId="2" applyAlignment="1" pivotButton="0" quotePrefix="0" xfId="0">
      <alignment vertical="center" wrapText="1"/>
    </xf>
    <xf numFmtId="0" fontId="8" fillId="6" borderId="2" applyAlignment="1" pivotButton="0" quotePrefix="0" xfId="0">
      <alignment vertical="center" wrapText="1"/>
    </xf>
    <xf numFmtId="0" fontId="9" fillId="6" borderId="2" applyAlignment="1" pivotButton="0" quotePrefix="0" xfId="0">
      <alignment vertical="center" wrapText="1"/>
    </xf>
    <xf numFmtId="0" fontId="10" fillId="6" borderId="2" applyAlignment="1" pivotButton="0" quotePrefix="0" xfId="0">
      <alignment vertical="center" wrapText="1"/>
    </xf>
    <xf numFmtId="1" fontId="9" fillId="6" borderId="2" applyAlignment="1" pivotButton="0" quotePrefix="0" xfId="0">
      <alignment horizontal="center" vertical="center" wrapText="1"/>
    </xf>
    <xf numFmtId="164" fontId="11" fillId="6" borderId="2" applyAlignment="1" pivotButton="0" quotePrefix="0" xfId="0">
      <alignment horizontal="right" vertical="center" wrapText="1"/>
    </xf>
    <xf numFmtId="0" fontId="7" fillId="6" borderId="2" applyAlignment="1" pivotButton="0" quotePrefix="0" xfId="0">
      <alignment horizontal="center" vertical="center" wrapText="1"/>
    </xf>
    <xf numFmtId="0" fontId="12" fillId="6" borderId="2" applyAlignment="1" pivotButton="0" quotePrefix="0" xfId="0">
      <alignment vertical="center" wrapText="1"/>
    </xf>
    <xf numFmtId="0" fontId="13" fillId="6" borderId="2" applyAlignment="1" pivotButton="0" quotePrefix="0" xfId="0">
      <alignment vertical="center" wrapText="1"/>
    </xf>
    <xf numFmtId="3" fontId="7" fillId="6" borderId="2" applyAlignment="1" pivotButton="0" quotePrefix="0" xfId="0">
      <alignment horizontal="right" vertical="center" wrapText="1"/>
    </xf>
    <xf numFmtId="0" fontId="14" fillId="4" borderId="2" applyAlignment="1" pivotButton="0" quotePrefix="0" xfId="0">
      <alignment horizontal="center" vertical="center" wrapText="1"/>
    </xf>
    <xf numFmtId="0" fontId="15" fillId="4" borderId="2" applyAlignment="1" pivotButton="0" quotePrefix="0" xfId="0">
      <alignment horizontal="center" vertical="center" wrapText="1"/>
    </xf>
    <xf numFmtId="0" fontId="14" fillId="4" borderId="2" applyAlignment="1" pivotButton="0" quotePrefix="0" xfId="0">
      <alignment vertical="center" wrapText="1"/>
    </xf>
    <xf numFmtId="0" fontId="8" fillId="6" borderId="2" applyAlignment="1" pivotButton="0" quotePrefix="0" xfId="0">
      <alignment horizontal="center" vertical="center" wrapText="1"/>
    </xf>
    <xf numFmtId="0" fontId="14" fillId="6" borderId="2" applyAlignment="1" pivotButton="0" quotePrefix="0" xfId="0">
      <alignment horizontal="center" vertical="center" wrapText="1"/>
    </xf>
    <xf numFmtId="0" fontId="15" fillId="6" borderId="2" applyAlignment="1" pivotButton="0" quotePrefix="0" xfId="0">
      <alignment horizontal="center" vertical="center" wrapText="1"/>
    </xf>
    <xf numFmtId="0" fontId="14" fillId="6" borderId="2" applyAlignment="1" pivotButton="0" quotePrefix="0" xfId="0">
      <alignment vertical="center" wrapText="1"/>
    </xf>
    <xf numFmtId="0" fontId="8" fillId="4" borderId="2" applyAlignment="1" pivotButton="0" quotePrefix="0" xfId="0">
      <alignment horizontal="center" vertical="center" wrapText="1"/>
    </xf>
    <xf numFmtId="0" fontId="0" fillId="7" borderId="3" pivotButton="0" quotePrefix="0" xfId="0"/>
    <xf numFmtId="0" fontId="8" fillId="7" borderId="3" pivotButton="0" quotePrefix="0" xfId="0"/>
    <xf numFmtId="164" fontId="16" fillId="7" borderId="3" applyAlignment="1" pivotButton="0" quotePrefix="0" xfId="0">
      <alignment horizontal="right"/>
    </xf>
    <xf numFmtId="0" fontId="8" fillId="7" borderId="3" applyAlignment="1" pivotButton="0" quotePrefix="0" xfId="0">
      <alignment horizontal="center"/>
    </xf>
    <xf numFmtId="0" fontId="17" fillId="0" borderId="0" pivotButton="0" quotePrefix="0" xfId="0"/>
    <xf numFmtId="0" fontId="9" fillId="4" borderId="2" applyAlignment="1" pivotButton="0" quotePrefix="0" xfId="0">
      <alignment horizontal="center" vertical="center" wrapText="1"/>
    </xf>
    <xf numFmtId="164" fontId="9" fillId="4" borderId="2" applyAlignment="1" pivotButton="0" quotePrefix="0" xfId="0">
      <alignment horizontal="right" vertical="center" wrapText="1"/>
    </xf>
    <xf numFmtId="0" fontId="18" fillId="6" borderId="2" applyAlignment="1" pivotButton="0" quotePrefix="0" xfId="0">
      <alignment vertical="center" wrapText="1"/>
    </xf>
    <xf numFmtId="0" fontId="9" fillId="6" borderId="2" applyAlignment="1" pivotButton="0" quotePrefix="0" xfId="0">
      <alignment horizontal="center" vertical="center" wrapText="1"/>
    </xf>
    <xf numFmtId="164" fontId="9" fillId="6" borderId="2" applyAlignment="1" pivotButton="0" quotePrefix="0" xfId="0">
      <alignment horizontal="right" vertical="center" wrapText="1"/>
    </xf>
    <xf numFmtId="0" fontId="18" fillId="4" borderId="2" applyAlignment="1" pivotButton="0" quotePrefix="0" xfId="0">
      <alignment vertical="center" wrapText="1"/>
    </xf>
    <xf numFmtId="0" fontId="16" fillId="0" borderId="0" applyAlignment="1" pivotButton="0" quotePrefix="0" xfId="0">
      <alignment vertical="bottom"/>
    </xf>
    <xf numFmtId="0" fontId="6" fillId="4" borderId="2" applyAlignment="1" pivotButton="0" quotePrefix="0" xfId="0">
      <alignment vertical="center" wrapText="1"/>
    </xf>
    <xf numFmtId="0" fontId="6" fillId="6" borderId="2" applyAlignment="1" pivotButton="0" quotePrefix="0" xfId="0">
      <alignment vertical="center" wrapText="1"/>
    </xf>
    <xf numFmtId="0" fontId="8" fillId="3" borderId="2" applyAlignment="1" pivotButton="0" quotePrefix="0" xfId="0">
      <alignment vertical="center" wrapText="1"/>
    </xf>
    <xf numFmtId="0" fontId="9" fillId="3" borderId="2" applyAlignment="1" pivotButton="0" quotePrefix="0" xfId="0">
      <alignment horizontal="center" vertical="center" wrapText="1"/>
    </xf>
    <xf numFmtId="164" fontId="9" fillId="3" borderId="2" applyAlignment="1" pivotButton="0" quotePrefix="0" xfId="0">
      <alignment horizontal="right" vertical="center" wrapText="1"/>
    </xf>
    <xf numFmtId="0" fontId="6" fillId="3" borderId="2" applyAlignment="1" pivotButton="0" quotePrefix="0" xfId="0">
      <alignment vertical="center" wrapText="1"/>
    </xf>
    <xf numFmtId="0" fontId="19" fillId="0" borderId="0" applyAlignment="1" pivotButton="0" quotePrefix="0" xfId="0">
      <alignment vertical="bottom"/>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286000" cy="9239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yad.ca" TargetMode="External" Id="rId1" /><Relationship Type="http://schemas.openxmlformats.org/officeDocument/2006/relationships/hyperlink" Target="https://ges.com" TargetMode="External" Id="rId2" /><Relationship Type="http://schemas.openxmlformats.org/officeDocument/2006/relationships/hyperlink" Target="https://curtinmaritime.com" TargetMode="External" Id="rId3" /><Relationship Type="http://schemas.openxmlformats.org/officeDocument/2006/relationships/hyperlink" Target="https://everquote.com" TargetMode="External" Id="rId4" /><Relationship Type="http://schemas.openxmlformats.org/officeDocument/2006/relationships/hyperlink" Target="https://burnco.com" TargetMode="External" Id="rId5" /><Relationship Type="http://schemas.openxmlformats.org/officeDocument/2006/relationships/hyperlink" Target="https://ohiohealth.com" TargetMode="External" Id="rId6" /><Relationship Type="http://schemas.openxmlformats.org/officeDocument/2006/relationships/hyperlink" Target="https://mcleodsoftware.com" TargetMode="External" Id="rId7" /><Relationship Type="http://schemas.openxmlformats.org/officeDocument/2006/relationships/hyperlink" Target="https://primeflight.com" TargetMode="External" Id="rId8" /><Relationship Type="http://schemas.openxmlformats.org/officeDocument/2006/relationships/hyperlink" Target="https://vacasa.com" TargetMode="External" Id="rId9" /><Relationship Type="http://schemas.openxmlformats.org/officeDocument/2006/relationships/hyperlink" Target="https://mwcomponents.com" TargetMode="External" Id="rId10" /><Relationship Type="http://schemas.openxmlformats.org/officeDocument/2006/relationships/hyperlink" Target="https://distributorwireandcable.com" TargetMode="External" Id="rId11" /><Relationship Type="http://schemas.openxmlformats.org/officeDocument/2006/relationships/hyperlink" Target="https://bethany.org" TargetMode="External" Id="rId12" /><Relationship Type="http://schemas.openxmlformats.org/officeDocument/2006/relationships/hyperlink" Target="https://tsh.org" TargetMode="External" Id="rId13" /><Relationship Type="http://schemas.openxmlformats.org/officeDocument/2006/relationships/hyperlink" Target="https://kwpmc.com" TargetMode="External" Id="rId14" /><Relationship Type="http://schemas.openxmlformats.org/officeDocument/2006/relationships/hyperlink" Target="https://troon.com" TargetMode="External" Id="rId15" /><Relationship Type="http://schemas.openxmlformats.org/officeDocument/2006/relationships/hyperlink" Target="https://jacamcatalyst.com" TargetMode="External" Id="rId16" /><Relationship Type="http://schemas.openxmlformats.org/officeDocument/2006/relationships/hyperlink" Target="https://chq.org" TargetMode="External" Id="rId17" /><Relationship Type="http://schemas.openxmlformats.org/officeDocument/2006/relationships/hyperlink" Target="https://excelsior.edu" TargetMode="External" Id="rId18" /><Relationship Type="http://schemas.openxmlformats.org/officeDocument/2006/relationships/hyperlink" Target="https://eaglematerials.com" TargetMode="External" Id="rId19" /><Relationship Type="http://schemas.openxmlformats.org/officeDocument/2006/relationships/hyperlink" Target="https://mta.info" TargetMode="External" Id="rId20" /><Relationship Type="http://schemas.openxmlformats.org/officeDocument/2006/relationships/hyperlink" Target="https://grandriverhealth.org" TargetMode="External" Id="rId21" /><Relationship Type="http://schemas.openxmlformats.org/officeDocument/2006/relationships/hyperlink" Target="https://bayshore.ca" TargetMode="External" Id="rId22" /><Relationship Type="http://schemas.openxmlformats.org/officeDocument/2006/relationships/hyperlink" Target="https://rollins.com" TargetMode="External" Id="rId23" /><Relationship Type="http://schemas.openxmlformats.org/officeDocument/2006/relationships/hyperlink" Target="https://driscolls.com" TargetMode="External" Id="rId24" /><Relationship Type="http://schemas.openxmlformats.org/officeDocument/2006/relationships/hyperlink" Target="https://trimac.com" TargetMode="External" Id="rId25" /><Relationship Type="http://schemas.openxmlformats.org/officeDocument/2006/relationships/hyperlink" Target="https://cccu.ca" TargetMode="External" Id="rId26" /><Relationship Type="http://schemas.openxmlformats.org/officeDocument/2006/relationships/hyperlink" Target="https://rei.com" TargetMode="External" Id="rId27" /><Relationship Type="http://schemas.openxmlformats.org/officeDocument/2006/relationships/hyperlink" Target="https://ube.com" TargetMode="External" Id="rId28" /><Relationship Type="http://schemas.openxmlformats.org/officeDocument/2006/relationships/hyperlink" Target="https://aceparking.com" TargetMode="External" Id="rId29" /><Relationship Type="http://schemas.openxmlformats.org/officeDocument/2006/relationships/hyperlink" Target="https://mccain.com" TargetMode="External" Id="rId30" /><Relationship Type="http://schemas.openxmlformats.org/officeDocument/2006/relationships/drawing" Target="/xl/drawings/drawing1.xml" Id="rId31" /></Relationships>
</file>

<file path=xl/worksheets/sheet1.xml><?xml version="1.0" encoding="utf-8"?>
<worksheet xmlns="http://schemas.openxmlformats.org/spreadsheetml/2006/main">
  <sheetPr>
    <tabColor rgb="00F05A28"/>
    <outlinePr summaryBelow="1" summaryRight="1"/>
    <pageSetUpPr/>
  </sheetPr>
  <dimension ref="A1:T40"/>
  <sheetViews>
    <sheetView showGridLines="0" workbookViewId="0">
      <pane ySplit="7" topLeftCell="A8" activePane="bottomLeft" state="frozen"/>
      <selection pane="bottomLeft" activeCell="A1" sqref="A1"/>
    </sheetView>
  </sheetViews>
  <sheetFormatPr baseColWidth="8" defaultRowHeight="15"/>
  <cols>
    <col width="6" customWidth="1" min="1" max="1"/>
    <col width="10" customWidth="1" min="2" max="2"/>
    <col width="27" customWidth="1" min="3" max="3"/>
    <col width="22" customWidth="1" min="4" max="4"/>
    <col width="12" customWidth="1" min="5" max="5"/>
    <col width="9" customWidth="1" min="6" max="6"/>
    <col width="11" customWidth="1" min="7" max="7"/>
    <col width="26" customWidth="1" min="8" max="8"/>
    <col width="8" customWidth="1" min="9" max="9"/>
    <col width="13" customWidth="1" min="10" max="10"/>
    <col width="10" customWidth="1" min="11" max="11"/>
    <col width="8" customWidth="1" min="12" max="12"/>
    <col width="22" customWidth="1" min="13" max="13"/>
    <col width="18" customWidth="1" min="14" max="14"/>
    <col width="16" customWidth="1" min="15" max="15"/>
    <col width="12" customWidth="1" min="16" max="16"/>
    <col width="24" customWidth="1" min="17" max="17"/>
    <col width="24" customWidth="1" min="18" max="18"/>
    <col width="16" customWidth="1" min="19" max="19"/>
    <col width="12" customWidth="1" min="20" max="20"/>
  </cols>
  <sheetData>
    <row r="1" ht="20" customHeight="1">
      <c r="A1" s="1" t="n"/>
      <c r="B1" s="1" t="n"/>
      <c r="C1" s="1" t="n"/>
      <c r="D1" s="1" t="n"/>
      <c r="E1" s="1" t="n"/>
      <c r="F1" s="2" t="inlineStr">
        <is>
          <t>ALIGN HCM  ·  INTERNAL USE  ·  PREPARED 10 AUG 2026</t>
        </is>
      </c>
      <c r="G1" s="1" t="n"/>
      <c r="H1" s="1" t="n"/>
      <c r="I1" s="1" t="n"/>
      <c r="J1" s="1" t="n"/>
      <c r="K1" s="1" t="n"/>
      <c r="L1" s="1" t="n"/>
      <c r="M1" s="1" t="n"/>
      <c r="N1" s="1" t="n"/>
      <c r="O1" s="1" t="n"/>
      <c r="P1" s="1" t="n"/>
      <c r="Q1" s="1" t="n"/>
      <c r="R1" s="1" t="n"/>
      <c r="S1" s="1" t="n"/>
      <c r="T1" s="1" t="n"/>
    </row>
    <row r="2" ht="30" customHeight="1">
      <c r="A2" s="1" t="n"/>
      <c r="B2" s="1" t="n"/>
      <c r="C2" s="1" t="n"/>
      <c r="D2" s="1" t="n"/>
      <c r="E2" s="1" t="n"/>
      <c r="F2" s="3" t="inlineStr">
        <is>
          <t>Top 30 Story Shortlist</t>
        </is>
      </c>
      <c r="G2" s="1" t="n"/>
      <c r="H2" s="1" t="n"/>
      <c r="I2" s="1" t="n"/>
      <c r="J2" s="1" t="n"/>
      <c r="K2" s="1" t="n"/>
      <c r="L2" s="1" t="n"/>
      <c r="M2" s="1" t="n"/>
      <c r="N2" s="1" t="n"/>
      <c r="O2" s="1" t="n"/>
      <c r="P2" s="1" t="n"/>
      <c r="Q2" s="1" t="n"/>
      <c r="R2" s="1" t="n"/>
      <c r="S2" s="1" t="n"/>
      <c r="T2" s="1" t="n"/>
    </row>
    <row r="3" ht="22" customHeight="1">
      <c r="A3" s="1" t="n"/>
      <c r="B3" s="1" t="n"/>
      <c r="C3" s="1" t="n"/>
      <c r="D3" s="1" t="n"/>
      <c r="E3" s="1" t="n"/>
      <c r="F3" s="4" t="inlineStr">
        <is>
          <t>Selected from 453 readable Stories rows by a score of 45% deal value (restated to true USD) + 30% recency + 25% narrative readiness, with caps forcing spread across industry, company size and platform, a $50k floor, and one story per client. Deal values are amount_in_home_currency equivalents — Canadian rows discounted at the verified blended rate 0.7316, NOT the raw sheet figure.</t>
        </is>
      </c>
      <c r="G3" s="1" t="n"/>
      <c r="H3" s="1" t="n"/>
      <c r="I3" s="1" t="n"/>
      <c r="J3" s="1" t="n"/>
      <c r="K3" s="1" t="n"/>
      <c r="L3" s="1" t="n"/>
      <c r="M3" s="1" t="n"/>
      <c r="N3" s="1" t="n"/>
      <c r="O3" s="1" t="n"/>
      <c r="P3" s="1" t="n"/>
      <c r="Q3" s="1" t="n"/>
      <c r="R3" s="1" t="n"/>
      <c r="S3" s="1" t="n"/>
      <c r="T3" s="1" t="n"/>
    </row>
    <row r="4" ht="14" customHeight="1">
      <c r="A4" s="1" t="n"/>
      <c r="B4" s="1" t="n"/>
      <c r="C4" s="1" t="n"/>
      <c r="D4" s="1" t="n"/>
      <c r="E4" s="1" t="n"/>
      <c r="F4" s="1" t="n"/>
      <c r="G4" s="1" t="n"/>
      <c r="H4" s="1" t="n"/>
      <c r="I4" s="1" t="n"/>
      <c r="J4" s="1" t="n"/>
      <c r="K4" s="1" t="n"/>
      <c r="L4" s="1" t="n"/>
      <c r="M4" s="1" t="n"/>
      <c r="N4" s="1" t="n"/>
      <c r="O4" s="1" t="n"/>
      <c r="P4" s="1" t="n"/>
      <c r="Q4" s="1" t="n"/>
      <c r="R4" s="1" t="n"/>
      <c r="S4" s="1" t="n"/>
      <c r="T4" s="1" t="n"/>
    </row>
    <row r="5" ht="18" customHeight="1">
      <c r="A5" s="5" t="inlineStr">
        <is>
          <t>EDIT THE YELLOW COLUMNS ONLY (Reference Status uses the Vocab tab list; Validator and Notes are free text). Everything left of them is derived.</t>
        </is>
      </c>
      <c r="B5" s="6" t="n"/>
      <c r="C5" s="6" t="n"/>
      <c r="D5" s="6" t="n"/>
      <c r="E5" s="6" t="n"/>
      <c r="F5" s="6" t="n"/>
      <c r="G5" s="6" t="n"/>
      <c r="H5" s="6" t="n"/>
      <c r="I5" s="6" t="n"/>
      <c r="J5" s="6" t="n"/>
      <c r="K5" s="6" t="n"/>
      <c r="L5" s="6" t="n"/>
      <c r="M5" s="6" t="n"/>
      <c r="N5" s="6" t="n"/>
      <c r="O5" s="6" t="n"/>
      <c r="P5" s="6" t="n"/>
      <c r="Q5" s="6" t="n"/>
      <c r="R5" s="6" t="n"/>
      <c r="S5" s="6" t="n"/>
      <c r="T5" s="6" t="n"/>
    </row>
    <row r="6" ht="6" customHeight="1">
      <c r="A6" s="7" t="n"/>
      <c r="B6" s="7" t="n"/>
      <c r="C6" s="7" t="n"/>
      <c r="D6" s="7" t="n"/>
      <c r="E6" s="7" t="n"/>
      <c r="F6" s="7" t="n"/>
      <c r="G6" s="7" t="n"/>
      <c r="H6" s="7" t="n"/>
      <c r="I6" s="7" t="n"/>
      <c r="J6" s="7" t="n"/>
      <c r="K6" s="7" t="n"/>
      <c r="L6" s="7" t="n"/>
      <c r="M6" s="7" t="n"/>
      <c r="N6" s="7" t="n"/>
      <c r="O6" s="7" t="n"/>
      <c r="P6" s="7" t="n"/>
      <c r="Q6" s="7" t="n"/>
      <c r="R6" s="7" t="n"/>
      <c r="S6" s="7" t="n"/>
      <c r="T6" s="7" t="n"/>
    </row>
    <row r="7" ht="24" customHeight="1">
      <c r="A7" s="8" t="inlineStr">
        <is>
          <t>Rank</t>
        </is>
      </c>
      <c r="B7" s="8" t="inlineStr">
        <is>
          <t>Story ID</t>
        </is>
      </c>
      <c r="C7" s="8" t="inlineStr">
        <is>
          <t>Client</t>
        </is>
      </c>
      <c r="D7" s="8" t="inlineStr">
        <is>
          <t>Industry</t>
        </is>
      </c>
      <c r="E7" s="8" t="inlineStr">
        <is>
          <t>Size (HC)</t>
        </is>
      </c>
      <c r="F7" s="8" t="inlineStr">
        <is>
          <t>Geo</t>
        </is>
      </c>
      <c r="G7" s="8" t="inlineStr">
        <is>
          <t>Platform</t>
        </is>
      </c>
      <c r="H7" s="8" t="inlineStr">
        <is>
          <t>Story Type</t>
        </is>
      </c>
      <c r="I7" s="8" t="inlineStr">
        <is>
          <t>Start Yr</t>
        </is>
      </c>
      <c r="J7" s="8" t="inlineStr">
        <is>
          <t>Value (true USD)</t>
        </is>
      </c>
      <c r="K7" s="8" t="inlineStr">
        <is>
          <t>Narrative?</t>
        </is>
      </c>
      <c r="L7" s="8" t="inlineStr">
        <is>
          <t>Quote?</t>
        </is>
      </c>
      <c r="M7" s="8" t="inlineStr">
        <is>
          <t>What it still needs</t>
        </is>
      </c>
      <c r="N7" s="8" t="inlineStr">
        <is>
          <t>CRM Deal Owner</t>
        </is>
      </c>
      <c r="O7" s="8" t="inlineStr">
        <is>
          <t>Reference Status</t>
        </is>
      </c>
      <c r="P7" s="8" t="inlineStr">
        <is>
          <t>Validator</t>
        </is>
      </c>
      <c r="Q7" s="8" t="inlineStr">
        <is>
          <t>Validation Notes</t>
        </is>
      </c>
      <c r="R7" s="8" t="inlineStr">
        <is>
          <t>Website</t>
        </is>
      </c>
      <c r="S7" s="8" t="inlineStr">
        <is>
          <t>HQ (CRM)</t>
        </is>
      </c>
      <c r="T7" s="8" t="inlineStr">
        <is>
          <t>Employees (CRM)</t>
        </is>
      </c>
    </row>
    <row r="8" ht="15" customHeight="1">
      <c r="A8" s="9" t="n">
        <v>1</v>
      </c>
      <c r="B8" s="10" t="inlineStr">
        <is>
          <t>CS-0279</t>
        </is>
      </c>
      <c r="C8" s="11" t="inlineStr">
        <is>
          <t>Leyad</t>
        </is>
      </c>
      <c r="D8" s="12" t="inlineStr">
        <is>
          <t>Real Estate</t>
        </is>
      </c>
      <c r="E8" s="12" t="inlineStr">
        <is>
          <t>&lt;500</t>
        </is>
      </c>
      <c r="F8" s="12" t="inlineStr">
        <is>
          <t>Canada</t>
        </is>
      </c>
      <c r="G8" s="13" t="inlineStr">
        <is>
          <t>Dayforce</t>
        </is>
      </c>
      <c r="H8" s="12" t="inlineStr">
        <is>
          <t>SmartCare Maintain</t>
        </is>
      </c>
      <c r="I8" s="14" t="n">
        <v>2026</v>
      </c>
      <c r="J8" s="15" t="n">
        <v>79012.8</v>
      </c>
      <c r="K8" s="16" t="inlineStr">
        <is>
          <t>No</t>
        </is>
      </c>
      <c r="L8" s="16" t="inlineStr">
        <is>
          <t>No</t>
        </is>
      </c>
      <c r="M8" s="17" t="inlineStr">
        <is>
          <t>Narrative + quote</t>
        </is>
      </c>
      <c r="N8" s="12" t="inlineStr">
        <is>
          <t>Michael Lederman</t>
        </is>
      </c>
      <c r="O8" s="18" t="inlineStr"/>
      <c r="P8" s="18" t="inlineStr"/>
      <c r="Q8" s="18" t="inlineStr"/>
      <c r="R8" s="19" t="inlineStr">
        <is>
          <t>leyad.ca</t>
        </is>
      </c>
      <c r="S8" s="10" t="inlineStr">
        <is>
          <t>Ontario, Canada</t>
        </is>
      </c>
      <c r="T8" s="20" t="n">
        <v>300</v>
      </c>
    </row>
    <row r="9" ht="15" customHeight="1">
      <c r="A9" s="21" t="n">
        <v>2</v>
      </c>
      <c r="B9" s="22" t="inlineStr">
        <is>
          <t>CS-0183</t>
        </is>
      </c>
      <c r="C9" s="23" t="inlineStr">
        <is>
          <t>GES</t>
        </is>
      </c>
      <c r="D9" s="24" t="inlineStr">
        <is>
          <t>Professional Services</t>
        </is>
      </c>
      <c r="E9" s="24" t="inlineStr">
        <is>
          <t>2,000-5,000</t>
        </is>
      </c>
      <c r="F9" s="24" t="inlineStr">
        <is>
          <t>Multi</t>
        </is>
      </c>
      <c r="G9" s="25" t="inlineStr">
        <is>
          <t>Dayforce</t>
        </is>
      </c>
      <c r="H9" s="24" t="inlineStr">
        <is>
          <t>Add-on Expansion</t>
        </is>
      </c>
      <c r="I9" s="26" t="n">
        <v>2025</v>
      </c>
      <c r="J9" s="27" t="n">
        <v>145500</v>
      </c>
      <c r="K9" s="28" t="inlineStr">
        <is>
          <t>No</t>
        </is>
      </c>
      <c r="L9" s="28" t="inlineStr">
        <is>
          <t>No</t>
        </is>
      </c>
      <c r="M9" s="29" t="inlineStr">
        <is>
          <t>Narrative + quote</t>
        </is>
      </c>
      <c r="N9" s="24" t="inlineStr">
        <is>
          <t>Dianna Hammond</t>
        </is>
      </c>
      <c r="O9" s="18" t="inlineStr"/>
      <c r="P9" s="18" t="inlineStr"/>
      <c r="Q9" s="18" t="inlineStr"/>
      <c r="R9" s="30" t="inlineStr">
        <is>
          <t>ges.com</t>
        </is>
      </c>
      <c r="S9" s="22" t="inlineStr">
        <is>
          <t>Las Vegas, NV</t>
        </is>
      </c>
      <c r="T9" s="31" t="n"/>
    </row>
    <row r="10" ht="15" customHeight="1">
      <c r="A10" s="9" t="n">
        <v>3</v>
      </c>
      <c r="B10" s="10" t="inlineStr">
        <is>
          <t>CS-0128</t>
        </is>
      </c>
      <c r="C10" s="11" t="inlineStr">
        <is>
          <t>Curtin Maritime</t>
        </is>
      </c>
      <c r="D10" s="12" t="inlineStr">
        <is>
          <t>Transportation &amp; Logistics</t>
        </is>
      </c>
      <c r="E10" s="12" t="inlineStr">
        <is>
          <t>500-2,000</t>
        </is>
      </c>
      <c r="F10" s="12" t="inlineStr">
        <is>
          <t>US</t>
        </is>
      </c>
      <c r="G10" s="13" t="inlineStr">
        <is>
          <t>Dayforce</t>
        </is>
      </c>
      <c r="H10" s="12" t="inlineStr">
        <is>
          <t>SmartCare Maintain</t>
        </is>
      </c>
      <c r="I10" s="14" t="n">
        <v>2025</v>
      </c>
      <c r="J10" s="15" t="n">
        <v>84000</v>
      </c>
      <c r="K10" s="16" t="inlineStr">
        <is>
          <t>No</t>
        </is>
      </c>
      <c r="L10" s="16" t="inlineStr">
        <is>
          <t>No</t>
        </is>
      </c>
      <c r="M10" s="17" t="inlineStr">
        <is>
          <t>Narrative + quote</t>
        </is>
      </c>
      <c r="N10" s="12" t="inlineStr">
        <is>
          <t>Maher El-Abdallah</t>
        </is>
      </c>
      <c r="O10" s="18" t="inlineStr"/>
      <c r="P10" s="18" t="inlineStr"/>
      <c r="Q10" s="18" t="inlineStr"/>
      <c r="R10" s="19" t="inlineStr">
        <is>
          <t>curtinmaritime.com</t>
        </is>
      </c>
      <c r="S10" s="10" t="inlineStr"/>
      <c r="T10" s="20" t="n">
        <v>500</v>
      </c>
    </row>
    <row r="11" ht="15" customHeight="1">
      <c r="A11" s="21" t="n">
        <v>4</v>
      </c>
      <c r="B11" s="22" t="inlineStr">
        <is>
          <t>CS-0166</t>
        </is>
      </c>
      <c r="C11" s="23" t="inlineStr">
        <is>
          <t>EverQuote</t>
        </is>
      </c>
      <c r="D11" s="24" t="inlineStr">
        <is>
          <t>Financial Services</t>
        </is>
      </c>
      <c r="E11" s="24" t="inlineStr">
        <is>
          <t>&lt;500</t>
        </is>
      </c>
      <c r="F11" s="24" t="inlineStr">
        <is>
          <t>US</t>
        </is>
      </c>
      <c r="G11" s="25" t="inlineStr">
        <is>
          <t>UKG Ready</t>
        </is>
      </c>
      <c r="H11" s="24" t="inlineStr">
        <is>
          <t>Implementation / Go-Live</t>
        </is>
      </c>
      <c r="I11" s="26" t="n">
        <v>2025</v>
      </c>
      <c r="J11" s="27" t="n">
        <v>78800</v>
      </c>
      <c r="K11" s="28" t="inlineStr">
        <is>
          <t>No</t>
        </is>
      </c>
      <c r="L11" s="28" t="inlineStr">
        <is>
          <t>No</t>
        </is>
      </c>
      <c r="M11" s="29" t="inlineStr">
        <is>
          <t>Narrative + quote</t>
        </is>
      </c>
      <c r="N11" s="24" t="inlineStr">
        <is>
          <t>— not in CRM —</t>
        </is>
      </c>
      <c r="O11" s="18" t="inlineStr"/>
      <c r="P11" s="18" t="inlineStr"/>
      <c r="Q11" s="18" t="inlineStr"/>
      <c r="R11" s="30" t="inlineStr">
        <is>
          <t>everquote.com</t>
        </is>
      </c>
      <c r="S11" s="22" t="inlineStr"/>
      <c r="T11" s="31" t="n">
        <v>350</v>
      </c>
    </row>
    <row r="12" ht="15" customHeight="1">
      <c r="A12" s="9" t="n">
        <v>5</v>
      </c>
      <c r="B12" s="10" t="inlineStr">
        <is>
          <t>CS-0088</t>
        </is>
      </c>
      <c r="C12" s="11" t="inlineStr">
        <is>
          <t>BURNCO</t>
        </is>
      </c>
      <c r="D12" s="12" t="inlineStr">
        <is>
          <t>Retail / Consumer</t>
        </is>
      </c>
      <c r="E12" s="12" t="inlineStr">
        <is>
          <t>500-2,000</t>
        </is>
      </c>
      <c r="F12" s="12" t="inlineStr">
        <is>
          <t>Canada</t>
        </is>
      </c>
      <c r="G12" s="13" t="inlineStr">
        <is>
          <t>UKG Pro</t>
        </is>
      </c>
      <c r="H12" s="12" t="inlineStr">
        <is>
          <t>Implementation / Go-Live</t>
        </is>
      </c>
      <c r="I12" s="14" t="n">
        <v>2026</v>
      </c>
      <c r="J12" s="15" t="n">
        <v>153416.52</v>
      </c>
      <c r="K12" s="32" t="inlineStr">
        <is>
          <t>Yes</t>
        </is>
      </c>
      <c r="L12" s="33" t="inlineStr">
        <is>
          <t>Raven</t>
        </is>
      </c>
      <c r="M12" s="34" t="inlineStr">
        <is>
          <t>Ready — spot-check only</t>
        </is>
      </c>
      <c r="N12" s="12" t="inlineStr">
        <is>
          <t>Miranda Sarwan</t>
        </is>
      </c>
      <c r="O12" s="18" t="inlineStr"/>
      <c r="P12" s="18" t="inlineStr"/>
      <c r="Q12" s="18" t="inlineStr"/>
      <c r="R12" s="19" t="inlineStr">
        <is>
          <t>burnco.com</t>
        </is>
      </c>
      <c r="S12" s="10" t="inlineStr">
        <is>
          <t>Calgary, AB</t>
        </is>
      </c>
      <c r="T12" s="20" t="n">
        <v>1500</v>
      </c>
    </row>
    <row r="13" ht="15" customHeight="1">
      <c r="A13" s="35" t="n">
        <v>6</v>
      </c>
      <c r="B13" s="22" t="inlineStr">
        <is>
          <t>CS-0323</t>
        </is>
      </c>
      <c r="C13" s="23" t="inlineStr">
        <is>
          <t>OhioHealth</t>
        </is>
      </c>
      <c r="D13" s="24" t="inlineStr">
        <is>
          <t>Healthcare</t>
        </is>
      </c>
      <c r="E13" s="24" t="inlineStr">
        <is>
          <t>10,000-50,000</t>
        </is>
      </c>
      <c r="F13" s="24" t="inlineStr">
        <is>
          <t>US</t>
        </is>
      </c>
      <c r="G13" s="25" t="inlineStr">
        <is>
          <t>UKG Pro</t>
        </is>
      </c>
      <c r="H13" s="24" t="inlineStr">
        <is>
          <t>Migration</t>
        </is>
      </c>
      <c r="I13" s="26" t="n">
        <v>2024</v>
      </c>
      <c r="J13" s="27" t="n">
        <v>2165175</v>
      </c>
      <c r="K13" s="36" t="inlineStr">
        <is>
          <t>Yes</t>
        </is>
      </c>
      <c r="L13" s="37" t="inlineStr">
        <is>
          <t>Raven</t>
        </is>
      </c>
      <c r="M13" s="38" t="inlineStr">
        <is>
          <t>Ready — spot-check only</t>
        </is>
      </c>
      <c r="N13" s="24" t="inlineStr">
        <is>
          <t>Mike Emsley</t>
        </is>
      </c>
      <c r="O13" s="18" t="inlineStr"/>
      <c r="P13" s="18" t="inlineStr"/>
      <c r="Q13" s="18" t="inlineStr"/>
      <c r="R13" s="30" t="inlineStr">
        <is>
          <t>ohiohealth.com</t>
        </is>
      </c>
      <c r="S13" s="22" t="inlineStr">
        <is>
          <t>Columbus, OH</t>
        </is>
      </c>
      <c r="T13" s="31" t="n">
        <v>30000</v>
      </c>
    </row>
    <row r="14" ht="15" customHeight="1">
      <c r="A14" s="39" t="n">
        <v>7</v>
      </c>
      <c r="B14" s="10" t="inlineStr">
        <is>
          <t>CS-0292</t>
        </is>
      </c>
      <c r="C14" s="11" t="inlineStr">
        <is>
          <t>McLeod Software</t>
        </is>
      </c>
      <c r="D14" s="12" t="inlineStr">
        <is>
          <t>Technology</t>
        </is>
      </c>
      <c r="E14" s="12" t="inlineStr">
        <is>
          <t>500-2,000</t>
        </is>
      </c>
      <c r="F14" s="12" t="inlineStr">
        <is>
          <t>US</t>
        </is>
      </c>
      <c r="G14" s="13" t="inlineStr">
        <is>
          <t>UKG Pro</t>
        </is>
      </c>
      <c r="H14" s="12" t="inlineStr">
        <is>
          <t>Implementation / Go-Live</t>
        </is>
      </c>
      <c r="I14" s="14" t="n">
        <v>2025</v>
      </c>
      <c r="J14" s="15" t="n">
        <v>96875</v>
      </c>
      <c r="K14" s="32" t="inlineStr">
        <is>
          <t>Yes</t>
        </is>
      </c>
      <c r="L14" s="33" t="inlineStr">
        <is>
          <t>Raven</t>
        </is>
      </c>
      <c r="M14" s="34" t="inlineStr">
        <is>
          <t>Ready — spot-check only</t>
        </is>
      </c>
      <c r="N14" s="12" t="inlineStr">
        <is>
          <t>— not in CRM —</t>
        </is>
      </c>
      <c r="O14" s="18" t="inlineStr"/>
      <c r="P14" s="18" t="inlineStr"/>
      <c r="Q14" s="18" t="inlineStr"/>
      <c r="R14" s="19" t="inlineStr">
        <is>
          <t>mcleodsoftware.com</t>
        </is>
      </c>
      <c r="S14" s="10" t="inlineStr">
        <is>
          <t>Birmingham, AL</t>
        </is>
      </c>
      <c r="T14" s="20" t="n">
        <v>700</v>
      </c>
    </row>
    <row r="15" ht="15" customHeight="1">
      <c r="A15" s="35" t="n">
        <v>8</v>
      </c>
      <c r="B15" s="22" t="inlineStr">
        <is>
          <t>CS-0342</t>
        </is>
      </c>
      <c r="C15" s="23" t="inlineStr">
        <is>
          <t>PrimeFlight</t>
        </is>
      </c>
      <c r="D15" s="24" t="inlineStr">
        <is>
          <t>Transportation &amp; Logistics</t>
        </is>
      </c>
      <c r="E15" s="24" t="inlineStr">
        <is>
          <t>5,000-10,000</t>
        </is>
      </c>
      <c r="F15" s="24" t="inlineStr">
        <is>
          <t>US</t>
        </is>
      </c>
      <c r="G15" s="25" t="inlineStr">
        <is>
          <t>UKG Pro</t>
        </is>
      </c>
      <c r="H15" s="24" t="inlineStr">
        <is>
          <t>Acquisition / Carve-out Support</t>
        </is>
      </c>
      <c r="I15" s="26" t="n">
        <v>2024</v>
      </c>
      <c r="J15" s="27" t="n">
        <v>296490</v>
      </c>
      <c r="K15" s="36" t="inlineStr">
        <is>
          <t>Yes</t>
        </is>
      </c>
      <c r="L15" s="37" t="inlineStr">
        <is>
          <t>Raven</t>
        </is>
      </c>
      <c r="M15" s="38" t="inlineStr">
        <is>
          <t>Ready — spot-check only</t>
        </is>
      </c>
      <c r="N15" s="24" t="inlineStr">
        <is>
          <t>Maher El-Abdallah</t>
        </is>
      </c>
      <c r="O15" s="18" t="inlineStr"/>
      <c r="P15" s="18" t="inlineStr"/>
      <c r="Q15" s="18" t="inlineStr"/>
      <c r="R15" s="30" t="inlineStr">
        <is>
          <t>primeflight.com</t>
        </is>
      </c>
      <c r="S15" s="22" t="inlineStr">
        <is>
          <t>Sugar Land, TX</t>
        </is>
      </c>
      <c r="T15" s="31" t="n">
        <v>9400</v>
      </c>
    </row>
    <row r="16" ht="15" customHeight="1">
      <c r="A16" s="39" t="n">
        <v>9</v>
      </c>
      <c r="B16" s="10" t="inlineStr">
        <is>
          <t>CS-0464</t>
        </is>
      </c>
      <c r="C16" s="11" t="inlineStr">
        <is>
          <t>Vacasa</t>
        </is>
      </c>
      <c r="D16" s="12" t="inlineStr">
        <is>
          <t>Hospitality</t>
        </is>
      </c>
      <c r="E16" s="12" t="inlineStr">
        <is>
          <t>5,000-10,000</t>
        </is>
      </c>
      <c r="F16" s="12" t="inlineStr">
        <is>
          <t>US</t>
        </is>
      </c>
      <c r="G16" s="13" t="inlineStr">
        <is>
          <t>UKG Pro</t>
        </is>
      </c>
      <c r="H16" s="12" t="inlineStr">
        <is>
          <t>SmartCare Maintain</t>
        </is>
      </c>
      <c r="I16" s="14" t="n">
        <v>2024</v>
      </c>
      <c r="J16" s="15" t="n">
        <v>240000</v>
      </c>
      <c r="K16" s="32" t="inlineStr">
        <is>
          <t>Yes</t>
        </is>
      </c>
      <c r="L16" s="33" t="inlineStr">
        <is>
          <t>Raven</t>
        </is>
      </c>
      <c r="M16" s="34" t="inlineStr">
        <is>
          <t>Ready — spot-check only</t>
        </is>
      </c>
      <c r="N16" s="12" t="inlineStr">
        <is>
          <t>— not in CRM —</t>
        </is>
      </c>
      <c r="O16" s="18" t="inlineStr"/>
      <c r="P16" s="18" t="inlineStr"/>
      <c r="Q16" s="18" t="inlineStr"/>
      <c r="R16" s="19" t="inlineStr">
        <is>
          <t>vacasa.com</t>
        </is>
      </c>
      <c r="S16" s="10" t="inlineStr">
        <is>
          <t>Portland, OR</t>
        </is>
      </c>
      <c r="T16" s="20" t="n">
        <v>6800</v>
      </c>
    </row>
    <row r="17" ht="15" customHeight="1">
      <c r="A17" s="35" t="n">
        <v>10</v>
      </c>
      <c r="B17" s="22" t="inlineStr">
        <is>
          <t>CS-0309</t>
        </is>
      </c>
      <c r="C17" s="23" t="inlineStr">
        <is>
          <t>MW Components</t>
        </is>
      </c>
      <c r="D17" s="24" t="inlineStr">
        <is>
          <t>Manufacturing</t>
        </is>
      </c>
      <c r="E17" s="24" t="inlineStr">
        <is>
          <t>2,000-5,000</t>
        </is>
      </c>
      <c r="F17" s="24" t="inlineStr">
        <is>
          <t>US</t>
        </is>
      </c>
      <c r="G17" s="25" t="inlineStr">
        <is>
          <t>UKG Pro</t>
        </is>
      </c>
      <c r="H17" s="24" t="inlineStr">
        <is>
          <t>Comp &amp; Performance Project</t>
        </is>
      </c>
      <c r="I17" s="26" t="n">
        <v>2024</v>
      </c>
      <c r="J17" s="27" t="n">
        <v>231550</v>
      </c>
      <c r="K17" s="36" t="inlineStr">
        <is>
          <t>Yes</t>
        </is>
      </c>
      <c r="L17" s="37" t="inlineStr">
        <is>
          <t>Raven</t>
        </is>
      </c>
      <c r="M17" s="38" t="inlineStr">
        <is>
          <t>Ready — spot-check only</t>
        </is>
      </c>
      <c r="N17" s="24" t="inlineStr">
        <is>
          <t>Miranda Sarwan</t>
        </is>
      </c>
      <c r="O17" s="18" t="inlineStr"/>
      <c r="P17" s="18" t="inlineStr"/>
      <c r="Q17" s="18" t="inlineStr"/>
      <c r="R17" s="30" t="inlineStr">
        <is>
          <t>mwcomponents.com</t>
        </is>
      </c>
      <c r="S17" s="22" t="inlineStr">
        <is>
          <t>Charlotte, NC</t>
        </is>
      </c>
      <c r="T17" s="31" t="n">
        <v>2100</v>
      </c>
    </row>
    <row r="18" ht="15" customHeight="1">
      <c r="A18" s="39" t="n">
        <v>11</v>
      </c>
      <c r="B18" s="10" t="inlineStr">
        <is>
          <t>CS-0138</t>
        </is>
      </c>
      <c r="C18" s="11" t="inlineStr">
        <is>
          <t>Distributor Wire &amp; Cable</t>
        </is>
      </c>
      <c r="D18" s="12" t="inlineStr">
        <is>
          <t>Manufacturing</t>
        </is>
      </c>
      <c r="E18" s="12" t="inlineStr">
        <is>
          <t>&lt;500</t>
        </is>
      </c>
      <c r="F18" s="12" t="inlineStr">
        <is>
          <t>US</t>
        </is>
      </c>
      <c r="G18" s="13" t="inlineStr">
        <is>
          <t>UKG Pro</t>
        </is>
      </c>
      <c r="H18" s="12" t="inlineStr">
        <is>
          <t>SmartCare Maintain</t>
        </is>
      </c>
      <c r="I18" s="14" t="n">
        <v>2025</v>
      </c>
      <c r="J18" s="15" t="n">
        <v>54000</v>
      </c>
      <c r="K18" s="32" t="inlineStr">
        <is>
          <t>Yes</t>
        </is>
      </c>
      <c r="L18" s="33" t="inlineStr">
        <is>
          <t>Raven</t>
        </is>
      </c>
      <c r="M18" s="34" t="inlineStr">
        <is>
          <t>Ready — spot-check only</t>
        </is>
      </c>
      <c r="N18" s="12" t="inlineStr">
        <is>
          <t>— not in CRM —</t>
        </is>
      </c>
      <c r="O18" s="18" t="inlineStr"/>
      <c r="P18" s="18" t="inlineStr"/>
      <c r="Q18" s="18" t="inlineStr"/>
      <c r="R18" s="19" t="inlineStr">
        <is>
          <t>distributorwireandcable.com</t>
        </is>
      </c>
      <c r="S18" s="10" t="inlineStr"/>
      <c r="T18" s="20" t="n"/>
    </row>
    <row r="19" ht="15" customHeight="1">
      <c r="A19" s="35" t="n">
        <v>12</v>
      </c>
      <c r="B19" s="22" t="inlineStr">
        <is>
          <t>CS-0071</t>
        </is>
      </c>
      <c r="C19" s="23" t="inlineStr">
        <is>
          <t>Bethany Christian Services</t>
        </is>
      </c>
      <c r="D19" s="24" t="inlineStr">
        <is>
          <t>Professional Services</t>
        </is>
      </c>
      <c r="E19" s="24" t="inlineStr">
        <is>
          <t>2,000-5,000</t>
        </is>
      </c>
      <c r="F19" s="24" t="inlineStr">
        <is>
          <t>US</t>
        </is>
      </c>
      <c r="G19" s="25" t="inlineStr">
        <is>
          <t>UKG Pro</t>
        </is>
      </c>
      <c r="H19" s="24" t="inlineStr">
        <is>
          <t>Migration</t>
        </is>
      </c>
      <c r="I19" s="26" t="n">
        <v>2024</v>
      </c>
      <c r="J19" s="27" t="n">
        <v>153495</v>
      </c>
      <c r="K19" s="36" t="inlineStr">
        <is>
          <t>Yes</t>
        </is>
      </c>
      <c r="L19" s="37" t="inlineStr">
        <is>
          <t>Raven</t>
        </is>
      </c>
      <c r="M19" s="38" t="inlineStr">
        <is>
          <t>Ready — spot-check only</t>
        </is>
      </c>
      <c r="N19" s="24" t="inlineStr">
        <is>
          <t>Miranda Sarwan</t>
        </is>
      </c>
      <c r="O19" s="18" t="inlineStr"/>
      <c r="P19" s="18" t="inlineStr"/>
      <c r="Q19" s="18" t="inlineStr"/>
      <c r="R19" s="30" t="inlineStr">
        <is>
          <t>bethany.org</t>
        </is>
      </c>
      <c r="S19" s="22" t="inlineStr"/>
      <c r="T19" s="31" t="n"/>
    </row>
    <row r="20" ht="15" customHeight="1">
      <c r="A20" s="39" t="n">
        <v>13</v>
      </c>
      <c r="B20" s="10" t="inlineStr">
        <is>
          <t>CS-0445</t>
        </is>
      </c>
      <c r="C20" s="11" t="inlineStr">
        <is>
          <t>TriState Health</t>
        </is>
      </c>
      <c r="D20" s="12" t="inlineStr">
        <is>
          <t>Healthcare</t>
        </is>
      </c>
      <c r="E20" s="12" t="inlineStr">
        <is>
          <t>&lt;500</t>
        </is>
      </c>
      <c r="F20" s="12" t="inlineStr">
        <is>
          <t>US</t>
        </is>
      </c>
      <c r="G20" s="13" t="inlineStr">
        <is>
          <t>UKG Pro</t>
        </is>
      </c>
      <c r="H20" s="12" t="inlineStr">
        <is>
          <t>Migration</t>
        </is>
      </c>
      <c r="I20" s="14" t="n">
        <v>2024</v>
      </c>
      <c r="J20" s="15" t="n">
        <v>142950</v>
      </c>
      <c r="K20" s="32" t="inlineStr">
        <is>
          <t>Yes</t>
        </is>
      </c>
      <c r="L20" s="33" t="inlineStr">
        <is>
          <t>Raven</t>
        </is>
      </c>
      <c r="M20" s="34" t="inlineStr">
        <is>
          <t>Ready — spot-check only</t>
        </is>
      </c>
      <c r="N20" s="12" t="inlineStr">
        <is>
          <t>Miranda Sarwan</t>
        </is>
      </c>
      <c r="O20" s="18" t="inlineStr"/>
      <c r="P20" s="18" t="inlineStr"/>
      <c r="Q20" s="18" t="inlineStr"/>
      <c r="R20" s="19" t="inlineStr">
        <is>
          <t>tsh.org</t>
        </is>
      </c>
      <c r="S20" s="10" t="inlineStr">
        <is>
          <t>Clarkson, WA</t>
        </is>
      </c>
      <c r="T20" s="20" t="n"/>
    </row>
    <row r="21" ht="15" customHeight="1">
      <c r="A21" s="35" t="n">
        <v>14</v>
      </c>
      <c r="B21" s="22" t="inlineStr">
        <is>
          <t>CS-0265</t>
        </is>
      </c>
      <c r="C21" s="23" t="inlineStr">
        <is>
          <t>KW Property Management</t>
        </is>
      </c>
      <c r="D21" s="24" t="inlineStr">
        <is>
          <t>Real Estate</t>
        </is>
      </c>
      <c r="E21" s="24" t="inlineStr">
        <is>
          <t>2,000-5,000</t>
        </is>
      </c>
      <c r="F21" s="24" t="inlineStr">
        <is>
          <t>US</t>
        </is>
      </c>
      <c r="G21" s="25" t="inlineStr">
        <is>
          <t>UKG Pro</t>
        </is>
      </c>
      <c r="H21" s="24" t="inlineStr">
        <is>
          <t>Migration</t>
        </is>
      </c>
      <c r="I21" s="26" t="n">
        <v>2024</v>
      </c>
      <c r="J21" s="27" t="n">
        <v>138000</v>
      </c>
      <c r="K21" s="36" t="inlineStr">
        <is>
          <t>Yes</t>
        </is>
      </c>
      <c r="L21" s="37" t="inlineStr">
        <is>
          <t>Raven</t>
        </is>
      </c>
      <c r="M21" s="38" t="inlineStr">
        <is>
          <t>Ready — spot-check only</t>
        </is>
      </c>
      <c r="N21" s="24" t="inlineStr">
        <is>
          <t>Miranda Sarwan</t>
        </is>
      </c>
      <c r="O21" s="18" t="inlineStr"/>
      <c r="P21" s="18" t="inlineStr"/>
      <c r="Q21" s="18" t="inlineStr"/>
      <c r="R21" s="30" t="inlineStr">
        <is>
          <t>kwpmc.com</t>
        </is>
      </c>
      <c r="S21" s="22" t="inlineStr">
        <is>
          <t>Miami, FL</t>
        </is>
      </c>
      <c r="T21" s="31" t="n">
        <v>2700</v>
      </c>
    </row>
    <row r="22" ht="15" customHeight="1">
      <c r="A22" s="39" t="n">
        <v>15</v>
      </c>
      <c r="B22" s="10" t="inlineStr">
        <is>
          <t>CS-0447</t>
        </is>
      </c>
      <c r="C22" s="11" t="inlineStr">
        <is>
          <t>Troon</t>
        </is>
      </c>
      <c r="D22" s="12" t="inlineStr">
        <is>
          <t>Hospitality</t>
        </is>
      </c>
      <c r="E22" s="12" t="inlineStr">
        <is>
          <t>10,000-50,000</t>
        </is>
      </c>
      <c r="F22" s="12" t="inlineStr">
        <is>
          <t>US</t>
        </is>
      </c>
      <c r="G22" s="13" t="inlineStr">
        <is>
          <t>UKG Pro</t>
        </is>
      </c>
      <c r="H22" s="12" t="inlineStr">
        <is>
          <t>Integration</t>
        </is>
      </c>
      <c r="I22" s="14" t="n">
        <v>2024</v>
      </c>
      <c r="J22" s="15" t="n">
        <v>128500</v>
      </c>
      <c r="K22" s="32" t="inlineStr">
        <is>
          <t>Yes</t>
        </is>
      </c>
      <c r="L22" s="33" t="inlineStr">
        <is>
          <t>Raven</t>
        </is>
      </c>
      <c r="M22" s="34" t="inlineStr">
        <is>
          <t>Ready — spot-check only</t>
        </is>
      </c>
      <c r="N22" s="12" t="inlineStr">
        <is>
          <t>Dianna Hammond</t>
        </is>
      </c>
      <c r="O22" s="18" t="inlineStr"/>
      <c r="P22" s="18" t="inlineStr"/>
      <c r="Q22" s="18" t="inlineStr"/>
      <c r="R22" s="19" t="inlineStr">
        <is>
          <t>troon.com</t>
        </is>
      </c>
      <c r="S22" s="10" t="inlineStr">
        <is>
          <t>Scottsdale, AZ</t>
        </is>
      </c>
      <c r="T22" s="20" t="n">
        <v>30000</v>
      </c>
    </row>
    <row r="23" ht="15" customHeight="1">
      <c r="A23" s="35" t="n">
        <v>16</v>
      </c>
      <c r="B23" s="22" t="inlineStr">
        <is>
          <t>CS-0243</t>
        </is>
      </c>
      <c r="C23" s="23" t="inlineStr">
        <is>
          <t>JACAM Catalyst</t>
        </is>
      </c>
      <c r="D23" s="24" t="inlineStr">
        <is>
          <t>Energy / Utilities</t>
        </is>
      </c>
      <c r="E23" s="24" t="inlineStr">
        <is>
          <t>500-2,000</t>
        </is>
      </c>
      <c r="F23" s="24" t="inlineStr">
        <is>
          <t>US</t>
        </is>
      </c>
      <c r="G23" s="25" t="inlineStr">
        <is>
          <t>UKG Pro</t>
        </is>
      </c>
      <c r="H23" s="24" t="inlineStr">
        <is>
          <t>Migration</t>
        </is>
      </c>
      <c r="I23" s="26" t="n">
        <v>2024</v>
      </c>
      <c r="J23" s="27" t="n">
        <v>107500</v>
      </c>
      <c r="K23" s="36" t="inlineStr">
        <is>
          <t>Yes</t>
        </is>
      </c>
      <c r="L23" s="37" t="inlineStr">
        <is>
          <t>Raven</t>
        </is>
      </c>
      <c r="M23" s="38" t="inlineStr">
        <is>
          <t>Ready — spot-check only</t>
        </is>
      </c>
      <c r="N23" s="24" t="inlineStr">
        <is>
          <t>— not in CRM —</t>
        </is>
      </c>
      <c r="O23" s="18" t="inlineStr"/>
      <c r="P23" s="18" t="inlineStr"/>
      <c r="Q23" s="18" t="inlineStr"/>
      <c r="R23" s="30" t="inlineStr">
        <is>
          <t>jacamcatalyst.com</t>
        </is>
      </c>
      <c r="S23" s="22" t="inlineStr">
        <is>
          <t>Sterling, KS</t>
        </is>
      </c>
      <c r="T23" s="31" t="n"/>
    </row>
    <row r="24" ht="15" customHeight="1">
      <c r="A24" s="39" t="n">
        <v>17</v>
      </c>
      <c r="B24" s="10" t="inlineStr">
        <is>
          <t>CS-0098</t>
        </is>
      </c>
      <c r="C24" s="11" t="inlineStr">
        <is>
          <t>Chautauqua Institution</t>
        </is>
      </c>
      <c r="D24" s="12" t="inlineStr">
        <is>
          <t>Nonprofit / Social Services</t>
        </is>
      </c>
      <c r="E24" s="12" t="inlineStr">
        <is>
          <t>500-2,000</t>
        </is>
      </c>
      <c r="F24" s="12" t="inlineStr">
        <is>
          <t>US</t>
        </is>
      </c>
      <c r="G24" s="13" t="inlineStr">
        <is>
          <t>UKG Pro</t>
        </is>
      </c>
      <c r="H24" s="12" t="inlineStr">
        <is>
          <t>Migration</t>
        </is>
      </c>
      <c r="I24" s="14" t="n">
        <v>2024</v>
      </c>
      <c r="J24" s="15" t="n">
        <v>84375</v>
      </c>
      <c r="K24" s="32" t="inlineStr">
        <is>
          <t>Yes</t>
        </is>
      </c>
      <c r="L24" s="33" t="inlineStr">
        <is>
          <t>Raven</t>
        </is>
      </c>
      <c r="M24" s="34" t="inlineStr">
        <is>
          <t>Ready — spot-check only</t>
        </is>
      </c>
      <c r="N24" s="12" t="inlineStr">
        <is>
          <t>Miranda Sarwan</t>
        </is>
      </c>
      <c r="O24" s="18" t="inlineStr"/>
      <c r="P24" s="18" t="inlineStr"/>
      <c r="Q24" s="18" t="inlineStr"/>
      <c r="R24" s="19" t="inlineStr">
        <is>
          <t>chq.org</t>
        </is>
      </c>
      <c r="S24" s="10" t="inlineStr"/>
      <c r="T24" s="20" t="n">
        <v>1400</v>
      </c>
    </row>
    <row r="25" ht="15" customHeight="1">
      <c r="A25" s="35" t="n">
        <v>18</v>
      </c>
      <c r="B25" s="22" t="inlineStr">
        <is>
          <t>CS-0167</t>
        </is>
      </c>
      <c r="C25" s="23" t="inlineStr">
        <is>
          <t>Excelsior University</t>
        </is>
      </c>
      <c r="D25" s="24" t="inlineStr">
        <is>
          <t>Higher Education</t>
        </is>
      </c>
      <c r="E25" s="24" t="inlineStr">
        <is>
          <t>&lt;500</t>
        </is>
      </c>
      <c r="F25" s="24" t="inlineStr">
        <is>
          <t>US</t>
        </is>
      </c>
      <c r="G25" s="25" t="inlineStr">
        <is>
          <t>UKG Pro</t>
        </is>
      </c>
      <c r="H25" s="24" t="inlineStr">
        <is>
          <t>Migration</t>
        </is>
      </c>
      <c r="I25" s="26" t="n">
        <v>2024</v>
      </c>
      <c r="J25" s="27" t="n">
        <v>79000</v>
      </c>
      <c r="K25" s="36" t="inlineStr">
        <is>
          <t>Yes</t>
        </is>
      </c>
      <c r="L25" s="37" t="inlineStr">
        <is>
          <t>Raven</t>
        </is>
      </c>
      <c r="M25" s="38" t="inlineStr">
        <is>
          <t>Ready — spot-check only</t>
        </is>
      </c>
      <c r="N25" s="24" t="inlineStr">
        <is>
          <t>Miranda Sarwan</t>
        </is>
      </c>
      <c r="O25" s="18" t="inlineStr"/>
      <c r="P25" s="18" t="inlineStr"/>
      <c r="Q25" s="18" t="inlineStr"/>
      <c r="R25" s="30" t="inlineStr">
        <is>
          <t>excelsior.edu</t>
        </is>
      </c>
      <c r="S25" s="22" t="inlineStr">
        <is>
          <t>Albany, NY</t>
        </is>
      </c>
      <c r="T25" s="31" t="n"/>
    </row>
    <row r="26" ht="15" customHeight="1">
      <c r="A26" s="39" t="n">
        <v>19</v>
      </c>
      <c r="B26" s="10" t="inlineStr">
        <is>
          <t>CS-0148</t>
        </is>
      </c>
      <c r="C26" s="11" t="inlineStr">
        <is>
          <t>Eagle Materials</t>
        </is>
      </c>
      <c r="D26" s="12" t="inlineStr">
        <is>
          <t>Manufacturing</t>
        </is>
      </c>
      <c r="E26" s="12" t="inlineStr">
        <is>
          <t>2,000-5,000</t>
        </is>
      </c>
      <c r="F26" s="12" t="inlineStr">
        <is>
          <t>US</t>
        </is>
      </c>
      <c r="G26" s="13" t="inlineStr">
        <is>
          <t>UKG Pro</t>
        </is>
      </c>
      <c r="H26" s="12" t="inlineStr">
        <is>
          <t>Integration</t>
        </is>
      </c>
      <c r="I26" s="14" t="n">
        <v>2024</v>
      </c>
      <c r="J26" s="15" t="n">
        <v>71000</v>
      </c>
      <c r="K26" s="32" t="inlineStr">
        <is>
          <t>Yes</t>
        </is>
      </c>
      <c r="L26" s="33" t="inlineStr">
        <is>
          <t>Raven</t>
        </is>
      </c>
      <c r="M26" s="34" t="inlineStr">
        <is>
          <t>Ready — spot-check only</t>
        </is>
      </c>
      <c r="N26" s="12" t="inlineStr">
        <is>
          <t>Miranda Sarwan</t>
        </is>
      </c>
      <c r="O26" s="18" t="inlineStr"/>
      <c r="P26" s="18" t="inlineStr"/>
      <c r="Q26" s="18" t="inlineStr"/>
      <c r="R26" s="19" t="inlineStr">
        <is>
          <t>eaglematerials.com</t>
        </is>
      </c>
      <c r="S26" s="10" t="inlineStr">
        <is>
          <t>Dallas, TX</t>
        </is>
      </c>
      <c r="T26" s="20" t="n">
        <v>2657</v>
      </c>
    </row>
    <row r="27" ht="15" customHeight="1">
      <c r="A27" s="35" t="n">
        <v>20</v>
      </c>
      <c r="B27" s="22" t="inlineStr">
        <is>
          <t>CS-0307</t>
        </is>
      </c>
      <c r="C27" s="23" t="inlineStr">
        <is>
          <t>MTA NY</t>
        </is>
      </c>
      <c r="D27" s="24" t="inlineStr">
        <is>
          <t>Public Sector</t>
        </is>
      </c>
      <c r="E27" s="24" t="inlineStr">
        <is>
          <t>50,000+</t>
        </is>
      </c>
      <c r="F27" s="24" t="inlineStr">
        <is>
          <t>US</t>
        </is>
      </c>
      <c r="G27" s="25" t="inlineStr">
        <is>
          <t>UKG Pro</t>
        </is>
      </c>
      <c r="H27" s="24" t="inlineStr">
        <is>
          <t>Staff Augmentation / PM</t>
        </is>
      </c>
      <c r="I27" s="26" t="n">
        <v>2024</v>
      </c>
      <c r="J27" s="27" t="n">
        <v>1296000</v>
      </c>
      <c r="K27" s="36" t="inlineStr">
        <is>
          <t>Yes</t>
        </is>
      </c>
      <c r="L27" s="28" t="inlineStr">
        <is>
          <t>No</t>
        </is>
      </c>
      <c r="M27" s="29" t="inlineStr">
        <is>
          <t>Fresh quote</t>
        </is>
      </c>
      <c r="N27" s="24" t="inlineStr">
        <is>
          <t>Maher El-Abdallah</t>
        </is>
      </c>
      <c r="O27" s="18" t="inlineStr"/>
      <c r="P27" s="18" t="inlineStr"/>
      <c r="Q27" s="18" t="inlineStr"/>
      <c r="R27" s="30" t="inlineStr">
        <is>
          <t>mta.info</t>
        </is>
      </c>
      <c r="S27" s="22" t="inlineStr"/>
      <c r="T27" s="31" t="n">
        <v>70000</v>
      </c>
    </row>
    <row r="28" ht="15" customHeight="1">
      <c r="A28" s="39" t="n">
        <v>21</v>
      </c>
      <c r="B28" s="10" t="inlineStr">
        <is>
          <t>CS-0194</t>
        </is>
      </c>
      <c r="C28" s="11" t="inlineStr">
        <is>
          <t>Grand River Health</t>
        </is>
      </c>
      <c r="D28" s="12" t="inlineStr">
        <is>
          <t>Healthcare</t>
        </is>
      </c>
      <c r="E28" s="12" t="inlineStr">
        <is>
          <t>500-2,000</t>
        </is>
      </c>
      <c r="F28" s="12" t="inlineStr">
        <is>
          <t>US</t>
        </is>
      </c>
      <c r="G28" s="13" t="inlineStr">
        <is>
          <t>UKG Pro</t>
        </is>
      </c>
      <c r="H28" s="12" t="inlineStr">
        <is>
          <t>Implementation / Go-Live</t>
        </is>
      </c>
      <c r="I28" s="14" t="n">
        <v>2025</v>
      </c>
      <c r="J28" s="15" t="n">
        <v>317700</v>
      </c>
      <c r="K28" s="32" t="inlineStr">
        <is>
          <t>Yes</t>
        </is>
      </c>
      <c r="L28" s="16" t="inlineStr">
        <is>
          <t>No</t>
        </is>
      </c>
      <c r="M28" s="17" t="inlineStr">
        <is>
          <t>Fresh quote</t>
        </is>
      </c>
      <c r="N28" s="12" t="inlineStr">
        <is>
          <t>— not in CRM —</t>
        </is>
      </c>
      <c r="O28" s="18" t="inlineStr"/>
      <c r="P28" s="18" t="inlineStr"/>
      <c r="Q28" s="18" t="inlineStr"/>
      <c r="R28" s="19" t="inlineStr">
        <is>
          <t>grandriverhealth.org</t>
        </is>
      </c>
      <c r="S28" s="10" t="inlineStr">
        <is>
          <t>Rifle, CO</t>
        </is>
      </c>
      <c r="T28" s="20" t="n">
        <v>850</v>
      </c>
    </row>
    <row r="29" ht="15" customHeight="1">
      <c r="A29" s="35" t="n">
        <v>22</v>
      </c>
      <c r="B29" s="22" t="inlineStr">
        <is>
          <t>CS-0061</t>
        </is>
      </c>
      <c r="C29" s="23" t="inlineStr">
        <is>
          <t>Bayshore HealthCare</t>
        </is>
      </c>
      <c r="D29" s="24" t="inlineStr">
        <is>
          <t>Healthcare</t>
        </is>
      </c>
      <c r="E29" s="24" t="inlineStr">
        <is>
          <t>2,000-5,000</t>
        </is>
      </c>
      <c r="F29" s="24" t="inlineStr">
        <is>
          <t>Canada</t>
        </is>
      </c>
      <c r="G29" s="25" t="inlineStr">
        <is>
          <t>UKG Pro</t>
        </is>
      </c>
      <c r="H29" s="24" t="inlineStr">
        <is>
          <t>Implementation / Go-Live</t>
        </is>
      </c>
      <c r="I29" s="26" t="n">
        <v>2024</v>
      </c>
      <c r="J29" s="27" t="n">
        <v>411159.2</v>
      </c>
      <c r="K29" s="36" t="inlineStr">
        <is>
          <t>Yes</t>
        </is>
      </c>
      <c r="L29" s="28" t="inlineStr">
        <is>
          <t>No</t>
        </is>
      </c>
      <c r="M29" s="29" t="inlineStr">
        <is>
          <t>Fresh quote</t>
        </is>
      </c>
      <c r="N29" s="24" t="inlineStr">
        <is>
          <t>Maher El-Abdallah</t>
        </is>
      </c>
      <c r="O29" s="18" t="inlineStr"/>
      <c r="P29" s="18" t="inlineStr"/>
      <c r="Q29" s="18" t="inlineStr"/>
      <c r="R29" s="30" t="inlineStr">
        <is>
          <t>bayshore.ca</t>
        </is>
      </c>
      <c r="S29" s="22" t="inlineStr">
        <is>
          <t>Etobicoke, ON</t>
        </is>
      </c>
      <c r="T29" s="31" t="n">
        <v>3500</v>
      </c>
    </row>
    <row r="30" ht="15" customHeight="1">
      <c r="A30" s="39" t="n">
        <v>23</v>
      </c>
      <c r="B30" s="10" t="inlineStr">
        <is>
          <t>CS-0363</t>
        </is>
      </c>
      <c r="C30" s="11" t="inlineStr">
        <is>
          <t>Rollins</t>
        </is>
      </c>
      <c r="D30" s="12" t="inlineStr">
        <is>
          <t>Professional Services</t>
        </is>
      </c>
      <c r="E30" s="12" t="inlineStr">
        <is>
          <t>10,000-50,000</t>
        </is>
      </c>
      <c r="F30" s="12" t="inlineStr">
        <is>
          <t>US</t>
        </is>
      </c>
      <c r="G30" s="13" t="inlineStr">
        <is>
          <t>UKG Pro</t>
        </is>
      </c>
      <c r="H30" s="12" t="inlineStr">
        <is>
          <t>Integration</t>
        </is>
      </c>
      <c r="I30" s="14" t="n">
        <v>2022</v>
      </c>
      <c r="J30" s="15" t="n">
        <v>52750</v>
      </c>
      <c r="K30" s="32" t="inlineStr">
        <is>
          <t>Yes</t>
        </is>
      </c>
      <c r="L30" s="33" t="inlineStr">
        <is>
          <t>Raven</t>
        </is>
      </c>
      <c r="M30" s="34" t="inlineStr">
        <is>
          <t>Ready — spot-check only</t>
        </is>
      </c>
      <c r="N30" s="12" t="inlineStr">
        <is>
          <t>Maher El-Abdallah</t>
        </is>
      </c>
      <c r="O30" s="18" t="inlineStr"/>
      <c r="P30" s="18" t="inlineStr"/>
      <c r="Q30" s="18" t="inlineStr"/>
      <c r="R30" s="19" t="inlineStr">
        <is>
          <t>rollins.com</t>
        </is>
      </c>
      <c r="S30" s="10" t="inlineStr">
        <is>
          <t>Atlanta, GA</t>
        </is>
      </c>
      <c r="T30" s="20" t="n">
        <v>13000</v>
      </c>
    </row>
    <row r="31" ht="15" customHeight="1">
      <c r="A31" s="35" t="n">
        <v>24</v>
      </c>
      <c r="B31" s="22" t="inlineStr">
        <is>
          <t>CS-0141</t>
        </is>
      </c>
      <c r="C31" s="23" t="inlineStr">
        <is>
          <t>Driscoll's</t>
        </is>
      </c>
      <c r="D31" s="24" t="inlineStr">
        <is>
          <t>Agriculture &amp; Food</t>
        </is>
      </c>
      <c r="E31" s="24" t="inlineStr">
        <is>
          <t>5,000-10,000</t>
        </is>
      </c>
      <c r="F31" s="24" t="inlineStr">
        <is>
          <t>US</t>
        </is>
      </c>
      <c r="G31" s="25" t="inlineStr">
        <is>
          <t>UKG Pro</t>
        </is>
      </c>
      <c r="H31" s="24" t="inlineStr">
        <is>
          <t>Implementation / Go-Live</t>
        </is>
      </c>
      <c r="I31" s="26" t="n">
        <v>2023</v>
      </c>
      <c r="J31" s="27" t="n">
        <v>453850</v>
      </c>
      <c r="K31" s="36" t="inlineStr">
        <is>
          <t>Yes</t>
        </is>
      </c>
      <c r="L31" s="28" t="inlineStr">
        <is>
          <t>No</t>
        </is>
      </c>
      <c r="M31" s="29" t="inlineStr">
        <is>
          <t>Fresh quote</t>
        </is>
      </c>
      <c r="N31" s="24" t="inlineStr">
        <is>
          <t>Miranda Sarwan</t>
        </is>
      </c>
      <c r="O31" s="18" t="inlineStr"/>
      <c r="P31" s="18" t="inlineStr"/>
      <c r="Q31" s="18" t="inlineStr"/>
      <c r="R31" s="30" t="inlineStr">
        <is>
          <t>driscolls.com</t>
        </is>
      </c>
      <c r="S31" s="22" t="inlineStr">
        <is>
          <t>Watsonville, CA</t>
        </is>
      </c>
      <c r="T31" s="31" t="n">
        <v>6200</v>
      </c>
    </row>
    <row r="32" ht="15" customHeight="1">
      <c r="A32" s="39" t="n">
        <v>25</v>
      </c>
      <c r="B32" s="10" t="inlineStr">
        <is>
          <t>CS-0443</t>
        </is>
      </c>
      <c r="C32" s="11" t="inlineStr">
        <is>
          <t>Trimac Transportation</t>
        </is>
      </c>
      <c r="D32" s="12" t="inlineStr">
        <is>
          <t>Transportation &amp; Logistics</t>
        </is>
      </c>
      <c r="E32" s="12" t="inlineStr">
        <is>
          <t>2,000-5,000</t>
        </is>
      </c>
      <c r="F32" s="12" t="inlineStr">
        <is>
          <t>Canada</t>
        </is>
      </c>
      <c r="G32" s="13" t="inlineStr">
        <is>
          <t>UKG Pro</t>
        </is>
      </c>
      <c r="H32" s="12" t="inlineStr">
        <is>
          <t>Implementation / Go-Live</t>
        </is>
      </c>
      <c r="I32" s="14" t="n">
        <v>2026</v>
      </c>
      <c r="J32" s="15" t="n">
        <v>398582.996</v>
      </c>
      <c r="K32" s="16" t="inlineStr">
        <is>
          <t>No</t>
        </is>
      </c>
      <c r="L32" s="16" t="inlineStr">
        <is>
          <t>No</t>
        </is>
      </c>
      <c r="M32" s="17" t="inlineStr">
        <is>
          <t>Narrative + quote</t>
        </is>
      </c>
      <c r="N32" s="12" t="inlineStr">
        <is>
          <t>Miranda Sarwan</t>
        </is>
      </c>
      <c r="O32" s="18" t="inlineStr"/>
      <c r="P32" s="18" t="inlineStr"/>
      <c r="Q32" s="18" t="inlineStr"/>
      <c r="R32" s="19" t="inlineStr">
        <is>
          <t>trimac.com</t>
        </is>
      </c>
      <c r="S32" s="10" t="inlineStr">
        <is>
          <t>Calgary, AB</t>
        </is>
      </c>
      <c r="T32" s="20" t="n"/>
    </row>
    <row r="33" ht="15" customHeight="1">
      <c r="A33" s="35" t="n">
        <v>26</v>
      </c>
      <c r="B33" s="22" t="inlineStr">
        <is>
          <t>CS-0107</t>
        </is>
      </c>
      <c r="C33" s="23" t="inlineStr">
        <is>
          <t>Coastal Community Credit Union</t>
        </is>
      </c>
      <c r="D33" s="24" t="inlineStr">
        <is>
          <t>Financial Services</t>
        </is>
      </c>
      <c r="E33" s="24" t="inlineStr">
        <is>
          <t>500-2,000</t>
        </is>
      </c>
      <c r="F33" s="24" t="inlineStr">
        <is>
          <t>Canada</t>
        </is>
      </c>
      <c r="G33" s="25" t="inlineStr">
        <is>
          <t>UKG Pro</t>
        </is>
      </c>
      <c r="H33" s="24" t="inlineStr">
        <is>
          <t>Acquisition / Carve-out Support</t>
        </is>
      </c>
      <c r="I33" s="26" t="n">
        <v>2026</v>
      </c>
      <c r="J33" s="27" t="n">
        <v>213422.352</v>
      </c>
      <c r="K33" s="28" t="inlineStr">
        <is>
          <t>No</t>
        </is>
      </c>
      <c r="L33" s="28" t="inlineStr">
        <is>
          <t>No</t>
        </is>
      </c>
      <c r="M33" s="29" t="inlineStr">
        <is>
          <t>Narrative + quote</t>
        </is>
      </c>
      <c r="N33" s="24" t="inlineStr">
        <is>
          <t>Miranda Sarwan</t>
        </is>
      </c>
      <c r="O33" s="18" t="inlineStr"/>
      <c r="P33" s="18" t="inlineStr"/>
      <c r="Q33" s="18" t="inlineStr"/>
      <c r="R33" s="30" t="inlineStr">
        <is>
          <t>cccu.ca</t>
        </is>
      </c>
      <c r="S33" s="22" t="inlineStr"/>
      <c r="T33" s="31" t="n"/>
    </row>
    <row r="34" ht="15" customHeight="1">
      <c r="A34" s="39" t="n">
        <v>27</v>
      </c>
      <c r="B34" s="10" t="inlineStr">
        <is>
          <t>CS-0351</t>
        </is>
      </c>
      <c r="C34" s="11" t="inlineStr">
        <is>
          <t>REI</t>
        </is>
      </c>
      <c r="D34" s="12" t="inlineStr">
        <is>
          <t>Retail / Consumer</t>
        </is>
      </c>
      <c r="E34" s="12" t="inlineStr">
        <is>
          <t>10,000-50,000</t>
        </is>
      </c>
      <c r="F34" s="12" t="inlineStr">
        <is>
          <t>US</t>
        </is>
      </c>
      <c r="G34" s="13" t="inlineStr">
        <is>
          <t>UKG Pro</t>
        </is>
      </c>
      <c r="H34" s="12" t="inlineStr">
        <is>
          <t>Assessment / Optimization</t>
        </is>
      </c>
      <c r="I34" s="14" t="n">
        <v>2026</v>
      </c>
      <c r="J34" s="15" t="n">
        <v>196350</v>
      </c>
      <c r="K34" s="16" t="inlineStr">
        <is>
          <t>No</t>
        </is>
      </c>
      <c r="L34" s="16" t="inlineStr">
        <is>
          <t>No</t>
        </is>
      </c>
      <c r="M34" s="17" t="inlineStr">
        <is>
          <t>Narrative + quote</t>
        </is>
      </c>
      <c r="N34" s="12" t="inlineStr">
        <is>
          <t>Michael Lederman</t>
        </is>
      </c>
      <c r="O34" s="18" t="inlineStr"/>
      <c r="P34" s="18" t="inlineStr"/>
      <c r="Q34" s="18" t="inlineStr"/>
      <c r="R34" s="19" t="inlineStr">
        <is>
          <t>rei.com</t>
        </is>
      </c>
      <c r="S34" s="10" t="inlineStr"/>
      <c r="T34" s="20" t="n"/>
    </row>
    <row r="35" ht="15" customHeight="1">
      <c r="A35" s="35" t="n">
        <v>28</v>
      </c>
      <c r="B35" s="22" t="inlineStr">
        <is>
          <t>CS-0451</t>
        </is>
      </c>
      <c r="C35" s="23" t="inlineStr">
        <is>
          <t>UBE</t>
        </is>
      </c>
      <c r="D35" s="24" t="inlineStr">
        <is>
          <t>Manufacturing</t>
        </is>
      </c>
      <c r="E35" s="24" t="inlineStr">
        <is>
          <t>10,000-50,000</t>
        </is>
      </c>
      <c r="F35" s="24" t="inlineStr">
        <is>
          <t>Other</t>
        </is>
      </c>
      <c r="G35" s="25" t="inlineStr">
        <is>
          <t>UKG Pro</t>
        </is>
      </c>
      <c r="H35" s="24" t="inlineStr">
        <is>
          <t>Implementation / Go-Live</t>
        </is>
      </c>
      <c r="I35" s="26" t="n">
        <v>2026</v>
      </c>
      <c r="J35" s="27" t="n">
        <v>156300</v>
      </c>
      <c r="K35" s="28" t="inlineStr">
        <is>
          <t>No</t>
        </is>
      </c>
      <c r="L35" s="28" t="inlineStr">
        <is>
          <t>No</t>
        </is>
      </c>
      <c r="M35" s="29" t="inlineStr">
        <is>
          <t>Narrative + quote</t>
        </is>
      </c>
      <c r="N35" s="24" t="inlineStr">
        <is>
          <t>Maher El-Abdallah</t>
        </is>
      </c>
      <c r="O35" s="18" t="inlineStr"/>
      <c r="P35" s="18" t="inlineStr"/>
      <c r="Q35" s="18" t="inlineStr"/>
      <c r="R35" s="30" t="inlineStr">
        <is>
          <t>ube.com</t>
        </is>
      </c>
      <c r="S35" s="22" t="inlineStr"/>
      <c r="T35" s="31" t="n"/>
    </row>
    <row r="36" ht="15" customHeight="1">
      <c r="A36" s="39" t="n">
        <v>29</v>
      </c>
      <c r="B36" s="10" t="inlineStr">
        <is>
          <t>CS-0006</t>
        </is>
      </c>
      <c r="C36" s="11" t="inlineStr">
        <is>
          <t>Ace Parking</t>
        </is>
      </c>
      <c r="D36" s="12" t="inlineStr">
        <is>
          <t>Professional Services</t>
        </is>
      </c>
      <c r="E36" s="12" t="inlineStr">
        <is>
          <t>5,000-10,000</t>
        </is>
      </c>
      <c r="F36" s="12" t="inlineStr">
        <is>
          <t>US</t>
        </is>
      </c>
      <c r="G36" s="13" t="inlineStr">
        <is>
          <t>UKG Pro</t>
        </is>
      </c>
      <c r="H36" s="12" t="inlineStr">
        <is>
          <t>SmartCare Maintain</t>
        </is>
      </c>
      <c r="I36" s="14" t="n">
        <v>2026</v>
      </c>
      <c r="J36" s="15" t="n">
        <v>120000</v>
      </c>
      <c r="K36" s="16" t="inlineStr">
        <is>
          <t>No</t>
        </is>
      </c>
      <c r="L36" s="16" t="inlineStr">
        <is>
          <t>No</t>
        </is>
      </c>
      <c r="M36" s="17" t="inlineStr">
        <is>
          <t>Narrative + quote</t>
        </is>
      </c>
      <c r="N36" s="12" t="inlineStr">
        <is>
          <t>Michael Lederman</t>
        </is>
      </c>
      <c r="O36" s="18" t="inlineStr"/>
      <c r="P36" s="18" t="inlineStr"/>
      <c r="Q36" s="18" t="inlineStr"/>
      <c r="R36" s="19" t="inlineStr">
        <is>
          <t>aceparking.com</t>
        </is>
      </c>
      <c r="S36" s="10" t="inlineStr"/>
      <c r="T36" s="20" t="n">
        <v>5000</v>
      </c>
    </row>
    <row r="37" ht="15" customHeight="1">
      <c r="A37" s="35" t="n">
        <v>30</v>
      </c>
      <c r="B37" s="22" t="inlineStr">
        <is>
          <t>CS-0290</t>
        </is>
      </c>
      <c r="C37" s="23" t="inlineStr">
        <is>
          <t>McCain Foods</t>
        </is>
      </c>
      <c r="D37" s="24" t="inlineStr">
        <is>
          <t>Agriculture &amp; Food</t>
        </is>
      </c>
      <c r="E37" s="24" t="inlineStr">
        <is>
          <t>10,000-50,000</t>
        </is>
      </c>
      <c r="F37" s="24" t="inlineStr">
        <is>
          <t>Multi</t>
        </is>
      </c>
      <c r="G37" s="25" t="inlineStr">
        <is>
          <t>UKG Pro</t>
        </is>
      </c>
      <c r="H37" s="24" t="inlineStr">
        <is>
          <t>SmartCare Maintain</t>
        </is>
      </c>
      <c r="I37" s="26" t="n">
        <v>2026</v>
      </c>
      <c r="J37" s="27" t="n">
        <v>114420</v>
      </c>
      <c r="K37" s="28" t="inlineStr">
        <is>
          <t>No</t>
        </is>
      </c>
      <c r="L37" s="28" t="inlineStr">
        <is>
          <t>No</t>
        </is>
      </c>
      <c r="M37" s="29" t="inlineStr">
        <is>
          <t>Narrative + quote</t>
        </is>
      </c>
      <c r="N37" s="24" t="inlineStr">
        <is>
          <t>Miranda Sarwan</t>
        </is>
      </c>
      <c r="O37" s="18" t="inlineStr"/>
      <c r="P37" s="18" t="inlineStr"/>
      <c r="Q37" s="18" t="inlineStr"/>
      <c r="R37" s="30" t="inlineStr">
        <is>
          <t>mccain.com</t>
        </is>
      </c>
      <c r="S37" s="22" t="inlineStr">
        <is>
          <t>Ontario, Canada</t>
        </is>
      </c>
      <c r="T37" s="31" t="n">
        <v>20000</v>
      </c>
    </row>
    <row r="38" ht="18" customHeight="1">
      <c r="A38" s="40" t="n"/>
      <c r="B38" s="40" t="n"/>
      <c r="C38" s="40" t="n"/>
      <c r="D38" s="40" t="n"/>
      <c r="E38" s="40" t="n"/>
      <c r="F38" s="40" t="n"/>
      <c r="G38" s="40" t="n"/>
      <c r="H38" s="40" t="n"/>
      <c r="I38" s="41" t="inlineStr">
        <is>
          <t>TOTAL</t>
        </is>
      </c>
      <c r="J38" s="42">
        <f>SUM(J8:J37)</f>
        <v>8260173.868000001</v>
        <v/>
      </c>
      <c r="K38" s="43">
        <f>COUNTIF(K8:K37,"Yes")</f>
        <v>20</v>
        <v/>
      </c>
      <c r="L38" s="43">
        <f>COUNTIF(L8:L37,"Raven")</f>
        <v>16</v>
        <v/>
      </c>
      <c r="M38" s="40" t="n"/>
      <c r="N38" s="40" t="n"/>
      <c r="O38" s="40" t="n"/>
      <c r="P38" s="40" t="n"/>
      <c r="Q38" s="40" t="n"/>
      <c r="R38" s="40" t="n"/>
      <c r="S38" s="40" t="n"/>
      <c r="T38" s="40" t="n"/>
    </row>
    <row r="40">
      <c r="A40" s="44" t="inlineStr">
        <is>
          <t>Branded edition prepared 10 Aug 2026. Columns R:T verified read-only against HubSpot portal 242825734 on 10 Aug 2026. Story data rows are unchanged from the 10 Aug shortlist build. Public web domains are shown where a CRM record used a subsidiary or legacy domain (OhioHealth, MTA NY, McCain Foods); see Read Me.</t>
        </is>
      </c>
    </row>
  </sheetData>
  <autoFilter ref="A7:T37"/>
  <hyperlinks>
    <hyperlink xmlns:r="http://schemas.openxmlformats.org/officeDocument/2006/relationships" ref="R8" r:id="rId1"/>
    <hyperlink xmlns:r="http://schemas.openxmlformats.org/officeDocument/2006/relationships" ref="R9" r:id="rId2"/>
    <hyperlink xmlns:r="http://schemas.openxmlformats.org/officeDocument/2006/relationships" ref="R10" r:id="rId3"/>
    <hyperlink xmlns:r="http://schemas.openxmlformats.org/officeDocument/2006/relationships" ref="R11" r:id="rId4"/>
    <hyperlink xmlns:r="http://schemas.openxmlformats.org/officeDocument/2006/relationships" ref="R12" r:id="rId5"/>
    <hyperlink xmlns:r="http://schemas.openxmlformats.org/officeDocument/2006/relationships" ref="R13" r:id="rId6"/>
    <hyperlink xmlns:r="http://schemas.openxmlformats.org/officeDocument/2006/relationships" ref="R14" r:id="rId7"/>
    <hyperlink xmlns:r="http://schemas.openxmlformats.org/officeDocument/2006/relationships" ref="R15" r:id="rId8"/>
    <hyperlink xmlns:r="http://schemas.openxmlformats.org/officeDocument/2006/relationships" ref="R16" r:id="rId9"/>
    <hyperlink xmlns:r="http://schemas.openxmlformats.org/officeDocument/2006/relationships" ref="R17" r:id="rId10"/>
    <hyperlink xmlns:r="http://schemas.openxmlformats.org/officeDocument/2006/relationships" ref="R18" r:id="rId11"/>
    <hyperlink xmlns:r="http://schemas.openxmlformats.org/officeDocument/2006/relationships" ref="R19" r:id="rId12"/>
    <hyperlink xmlns:r="http://schemas.openxmlformats.org/officeDocument/2006/relationships" ref="R20" r:id="rId13"/>
    <hyperlink xmlns:r="http://schemas.openxmlformats.org/officeDocument/2006/relationships" ref="R21" r:id="rId14"/>
    <hyperlink xmlns:r="http://schemas.openxmlformats.org/officeDocument/2006/relationships" ref="R22" r:id="rId15"/>
    <hyperlink xmlns:r="http://schemas.openxmlformats.org/officeDocument/2006/relationships" ref="R23" r:id="rId16"/>
    <hyperlink xmlns:r="http://schemas.openxmlformats.org/officeDocument/2006/relationships" ref="R24" r:id="rId17"/>
    <hyperlink xmlns:r="http://schemas.openxmlformats.org/officeDocument/2006/relationships" ref="R25" r:id="rId18"/>
    <hyperlink xmlns:r="http://schemas.openxmlformats.org/officeDocument/2006/relationships" ref="R26" r:id="rId19"/>
    <hyperlink xmlns:r="http://schemas.openxmlformats.org/officeDocument/2006/relationships" ref="R27" r:id="rId20"/>
    <hyperlink xmlns:r="http://schemas.openxmlformats.org/officeDocument/2006/relationships" ref="R28" r:id="rId21"/>
    <hyperlink xmlns:r="http://schemas.openxmlformats.org/officeDocument/2006/relationships" ref="R29" r:id="rId22"/>
    <hyperlink xmlns:r="http://schemas.openxmlformats.org/officeDocument/2006/relationships" ref="R30" r:id="rId23"/>
    <hyperlink xmlns:r="http://schemas.openxmlformats.org/officeDocument/2006/relationships" ref="R31" r:id="rId24"/>
    <hyperlink xmlns:r="http://schemas.openxmlformats.org/officeDocument/2006/relationships" ref="R32" r:id="rId25"/>
    <hyperlink xmlns:r="http://schemas.openxmlformats.org/officeDocument/2006/relationships" ref="R33" r:id="rId26"/>
    <hyperlink xmlns:r="http://schemas.openxmlformats.org/officeDocument/2006/relationships" ref="R34" r:id="rId27"/>
    <hyperlink xmlns:r="http://schemas.openxmlformats.org/officeDocument/2006/relationships" ref="R35" r:id="rId28"/>
    <hyperlink xmlns:r="http://schemas.openxmlformats.org/officeDocument/2006/relationships" ref="R36" r:id="rId29"/>
    <hyperlink xmlns:r="http://schemas.openxmlformats.org/officeDocument/2006/relationships" ref="R37" r:id="rId30"/>
  </hyperlinks>
  <pageMargins left="0.75" right="0.75" top="1" bottom="1" header="0.5" footer="0.5"/>
  <drawing xmlns:r="http://schemas.openxmlformats.org/officeDocument/2006/relationships" r:id="rId31"/>
</worksheet>
</file>

<file path=xl/worksheets/sheet2.xml><?xml version="1.0" encoding="utf-8"?>
<worksheet xmlns="http://schemas.openxmlformats.org/spreadsheetml/2006/main">
  <sheetPr>
    <tabColor rgb="000A1628"/>
    <outlinePr summaryBelow="1" summaryRight="1"/>
    <pageSetUpPr/>
  </sheetPr>
  <dimension ref="A1:J25"/>
  <sheetViews>
    <sheetView showGridLines="0" workbookViewId="0">
      <pane ySplit="5" topLeftCell="A6" activePane="bottomLeft" state="frozen"/>
      <selection pane="bottomLeft" activeCell="A1" sqref="A1"/>
    </sheetView>
  </sheetViews>
  <sheetFormatPr baseColWidth="8" defaultRowHeight="15"/>
  <cols>
    <col width="18" customWidth="1" min="1" max="1"/>
    <col width="28" customWidth="1" min="2" max="2"/>
    <col width="24" customWidth="1" min="3" max="3"/>
    <col width="12" customWidth="1" min="4" max="4"/>
    <col width="9" customWidth="1" min="5" max="5"/>
    <col width="12" customWidth="1" min="6" max="6"/>
    <col width="14" customWidth="1" min="7" max="7"/>
    <col width="9" customWidth="1" min="8" max="8"/>
    <col width="18" customWidth="1" min="9" max="9"/>
    <col width="18" customWidth="1" min="10" max="10"/>
  </cols>
  <sheetData>
    <row r="1" ht="16" customHeight="1">
      <c r="A1" s="2" t="inlineStr">
        <is>
          <t>ALIGN HCM  ·  OBJECTIVE 2</t>
        </is>
      </c>
      <c r="B1" s="1" t="n"/>
      <c r="C1" s="1" t="n"/>
      <c r="D1" s="1" t="n"/>
      <c r="E1" s="1" t="n"/>
      <c r="F1" s="1" t="n"/>
      <c r="G1" s="1" t="n"/>
      <c r="H1" s="1" t="n"/>
      <c r="I1" s="1" t="n"/>
      <c r="J1" s="1" t="n"/>
    </row>
    <row r="2" ht="24" customHeight="1">
      <c r="A2" s="3" t="inlineStr">
        <is>
          <t>Top References — Objective 2</t>
        </is>
      </c>
      <c r="B2" s="1" t="n"/>
      <c r="C2" s="1" t="n"/>
      <c r="D2" s="1" t="n"/>
      <c r="E2" s="1" t="n"/>
      <c r="F2" s="1" t="n"/>
      <c r="G2" s="1" t="n"/>
      <c r="H2" s="1" t="n"/>
      <c r="I2" s="1" t="n"/>
      <c r="J2" s="1" t="n"/>
    </row>
    <row r="3" ht="16" customHeight="1">
      <c r="A3" s="4" t="inlineStr">
        <is>
          <t>Ranked by how close each client already is to being usable. Tier A already has a public Raven review, so a logo/quote ask is a confirmation rather than a cold request. Reference Status is still blank on all 453 rows — these are CANDIDATES, not cleared references.</t>
        </is>
      </c>
      <c r="B3" s="1" t="n"/>
      <c r="C3" s="1" t="n"/>
      <c r="D3" s="1" t="n"/>
      <c r="E3" s="1" t="n"/>
      <c r="F3" s="1" t="n"/>
      <c r="G3" s="1" t="n"/>
      <c r="H3" s="1" t="n"/>
      <c r="I3" s="1" t="n"/>
      <c r="J3" s="1" t="n"/>
    </row>
    <row r="4" ht="6" customHeight="1">
      <c r="A4" s="7" t="n"/>
      <c r="B4" s="7" t="n"/>
      <c r="C4" s="7" t="n"/>
      <c r="D4" s="7" t="n"/>
      <c r="E4" s="7" t="n"/>
      <c r="F4" s="7" t="n"/>
      <c r="G4" s="7" t="n"/>
      <c r="H4" s="7" t="n"/>
      <c r="I4" s="7" t="n"/>
      <c r="J4" s="7" t="n"/>
    </row>
    <row r="5" ht="24" customHeight="1">
      <c r="A5" s="8" t="inlineStr">
        <is>
          <t>Tier</t>
        </is>
      </c>
      <c r="B5" s="8" t="inlineStr">
        <is>
          <t>Client</t>
        </is>
      </c>
      <c r="C5" s="8" t="inlineStr">
        <is>
          <t>Industry</t>
        </is>
      </c>
      <c r="D5" s="8" t="inlineStr">
        <is>
          <t>Size (HC)</t>
        </is>
      </c>
      <c r="E5" s="8" t="inlineStr">
        <is>
          <t>Geo</t>
        </is>
      </c>
      <c r="F5" s="8" t="inlineStr">
        <is>
          <t>Engagements</t>
        </is>
      </c>
      <c r="G5" s="8" t="inlineStr">
        <is>
          <t>Value (true USD)</t>
        </is>
      </c>
      <c r="H5" s="8" t="inlineStr">
        <is>
          <t>Latest yr</t>
        </is>
      </c>
      <c r="I5" s="8" t="inlineStr">
        <is>
          <t>Reference Status</t>
        </is>
      </c>
      <c r="J5" s="8" t="inlineStr">
        <is>
          <t>Owner to ask</t>
        </is>
      </c>
    </row>
    <row r="6">
      <c r="A6" s="13" t="inlineStr">
        <is>
          <t>B — Raven, older</t>
        </is>
      </c>
      <c r="B6" s="11" t="inlineStr">
        <is>
          <t>OhioHealth</t>
        </is>
      </c>
      <c r="C6" s="12" t="inlineStr">
        <is>
          <t>Healthcare</t>
        </is>
      </c>
      <c r="D6" s="12" t="inlineStr">
        <is>
          <t>10,000-50,000</t>
        </is>
      </c>
      <c r="E6" s="12" t="inlineStr">
        <is>
          <t>US</t>
        </is>
      </c>
      <c r="F6" s="45" t="n">
        <v>2</v>
      </c>
      <c r="G6" s="46" t="n">
        <v>2932695</v>
      </c>
      <c r="H6" s="14" t="n">
        <v>2024</v>
      </c>
      <c r="I6" s="18" t="inlineStr"/>
      <c r="J6" s="18" t="inlineStr"/>
    </row>
    <row r="7">
      <c r="A7" s="47" t="inlineStr">
        <is>
          <t>A — Raven + recent</t>
        </is>
      </c>
      <c r="B7" s="23" t="inlineStr">
        <is>
          <t>PrimeFlight</t>
        </is>
      </c>
      <c r="C7" s="24" t="inlineStr">
        <is>
          <t>Transportation &amp; Logistics</t>
        </is>
      </c>
      <c r="D7" s="24" t="inlineStr">
        <is>
          <t>5,000-10,000</t>
        </is>
      </c>
      <c r="E7" s="24" t="inlineStr">
        <is>
          <t>US</t>
        </is>
      </c>
      <c r="F7" s="48" t="n">
        <v>4</v>
      </c>
      <c r="G7" s="49" t="n">
        <v>1417850</v>
      </c>
      <c r="H7" s="26" t="n">
        <v>2025</v>
      </c>
      <c r="I7" s="18" t="inlineStr"/>
      <c r="J7" s="18" t="inlineStr"/>
    </row>
    <row r="8">
      <c r="A8" s="13" t="inlineStr">
        <is>
          <t>B — Raven, older</t>
        </is>
      </c>
      <c r="B8" s="11" t="inlineStr">
        <is>
          <t>Eagle Materials</t>
        </is>
      </c>
      <c r="C8" s="12" t="inlineStr">
        <is>
          <t>Manufacturing</t>
        </is>
      </c>
      <c r="D8" s="12" t="inlineStr">
        <is>
          <t>2,000-5,000</t>
        </is>
      </c>
      <c r="E8" s="12" t="inlineStr">
        <is>
          <t>US</t>
        </is>
      </c>
      <c r="F8" s="45" t="n">
        <v>2</v>
      </c>
      <c r="G8" s="46" t="n">
        <v>731000</v>
      </c>
      <c r="H8" s="14" t="n">
        <v>2024</v>
      </c>
      <c r="I8" s="18" t="inlineStr"/>
      <c r="J8" s="18" t="inlineStr"/>
    </row>
    <row r="9">
      <c r="A9" s="47" t="inlineStr">
        <is>
          <t>A — Raven + recent</t>
        </is>
      </c>
      <c r="B9" s="23" t="inlineStr">
        <is>
          <t>BURNCO</t>
        </is>
      </c>
      <c r="C9" s="24" t="inlineStr">
        <is>
          <t>Retail / Consumer</t>
        </is>
      </c>
      <c r="D9" s="24" t="inlineStr">
        <is>
          <t>500-2,000</t>
        </is>
      </c>
      <c r="E9" s="24" t="inlineStr">
        <is>
          <t>Canada</t>
        </is>
      </c>
      <c r="F9" s="48" t="n">
        <v>2</v>
      </c>
      <c r="G9" s="49" t="n">
        <v>418237.43</v>
      </c>
      <c r="H9" s="26" t="n">
        <v>2026</v>
      </c>
      <c r="I9" s="18" t="inlineStr"/>
      <c r="J9" s="18" t="inlineStr"/>
    </row>
    <row r="10">
      <c r="A10" s="50" t="inlineStr">
        <is>
          <t>A — Raven + recent</t>
        </is>
      </c>
      <c r="B10" s="11" t="inlineStr">
        <is>
          <t>Troon</t>
        </is>
      </c>
      <c r="C10" s="12" t="inlineStr">
        <is>
          <t>Hospitality</t>
        </is>
      </c>
      <c r="D10" s="12" t="inlineStr">
        <is>
          <t>10,000-50,000</t>
        </is>
      </c>
      <c r="E10" s="12" t="inlineStr">
        <is>
          <t>US</t>
        </is>
      </c>
      <c r="F10" s="45" t="n">
        <v>3</v>
      </c>
      <c r="G10" s="46" t="n">
        <v>353500</v>
      </c>
      <c r="H10" s="14" t="n">
        <v>2025</v>
      </c>
      <c r="I10" s="18" t="inlineStr"/>
      <c r="J10" s="18" t="inlineStr"/>
    </row>
    <row r="11">
      <c r="A11" s="47" t="inlineStr">
        <is>
          <t>A — Raven + recent</t>
        </is>
      </c>
      <c r="B11" s="23" t="inlineStr">
        <is>
          <t>MW Components</t>
        </is>
      </c>
      <c r="C11" s="24" t="inlineStr">
        <is>
          <t>Manufacturing</t>
        </is>
      </c>
      <c r="D11" s="24" t="inlineStr">
        <is>
          <t>2,000-5,000</t>
        </is>
      </c>
      <c r="E11" s="24" t="inlineStr">
        <is>
          <t>US</t>
        </is>
      </c>
      <c r="F11" s="48" t="n">
        <v>2</v>
      </c>
      <c r="G11" s="49" t="n">
        <v>255550</v>
      </c>
      <c r="H11" s="26" t="n">
        <v>2025</v>
      </c>
      <c r="I11" s="18" t="inlineStr"/>
      <c r="J11" s="18" t="inlineStr"/>
    </row>
    <row r="12">
      <c r="A12" s="13" t="inlineStr">
        <is>
          <t>B — Raven, older</t>
        </is>
      </c>
      <c r="B12" s="11" t="inlineStr">
        <is>
          <t>Vacasa</t>
        </is>
      </c>
      <c r="C12" s="12" t="inlineStr">
        <is>
          <t>Hospitality</t>
        </is>
      </c>
      <c r="D12" s="12" t="inlineStr">
        <is>
          <t>5,000-10,000</t>
        </is>
      </c>
      <c r="E12" s="12" t="inlineStr">
        <is>
          <t>US</t>
        </is>
      </c>
      <c r="F12" s="45" t="n">
        <v>1</v>
      </c>
      <c r="G12" s="46" t="n">
        <v>240000</v>
      </c>
      <c r="H12" s="14" t="n">
        <v>2024</v>
      </c>
      <c r="I12" s="18" t="inlineStr"/>
      <c r="J12" s="18" t="inlineStr"/>
    </row>
    <row r="13">
      <c r="A13" s="47" t="inlineStr">
        <is>
          <t>A — Raven + recent</t>
        </is>
      </c>
      <c r="B13" s="23" t="inlineStr">
        <is>
          <t>KW Property Management</t>
        </is>
      </c>
      <c r="C13" s="24" t="inlineStr">
        <is>
          <t>Real Estate</t>
        </is>
      </c>
      <c r="D13" s="24" t="inlineStr">
        <is>
          <t>2,000-5,000</t>
        </is>
      </c>
      <c r="E13" s="24" t="inlineStr">
        <is>
          <t>US</t>
        </is>
      </c>
      <c r="F13" s="48" t="n">
        <v>2</v>
      </c>
      <c r="G13" s="49" t="n">
        <v>178000</v>
      </c>
      <c r="H13" s="26" t="n">
        <v>2025</v>
      </c>
      <c r="I13" s="18" t="inlineStr"/>
      <c r="J13" s="18" t="inlineStr"/>
    </row>
    <row r="14">
      <c r="A14" s="50" t="inlineStr">
        <is>
          <t>A — Raven + recent</t>
        </is>
      </c>
      <c r="B14" s="11" t="inlineStr">
        <is>
          <t>Bethany Christian Services</t>
        </is>
      </c>
      <c r="C14" s="12" t="inlineStr">
        <is>
          <t>Professional Services</t>
        </is>
      </c>
      <c r="D14" s="12" t="inlineStr">
        <is>
          <t>2,000-5,000</t>
        </is>
      </c>
      <c r="E14" s="12" t="inlineStr">
        <is>
          <t>US</t>
        </is>
      </c>
      <c r="F14" s="45" t="n">
        <v>2</v>
      </c>
      <c r="G14" s="46" t="n">
        <v>156495</v>
      </c>
      <c r="H14" s="14" t="n">
        <v>2025</v>
      </c>
      <c r="I14" s="18" t="inlineStr"/>
      <c r="J14" s="18" t="inlineStr"/>
    </row>
    <row r="15">
      <c r="A15" s="25" t="inlineStr">
        <is>
          <t>B — Raven, older</t>
        </is>
      </c>
      <c r="B15" s="23" t="inlineStr">
        <is>
          <t>TriState Health</t>
        </is>
      </c>
      <c r="C15" s="24" t="inlineStr">
        <is>
          <t>Healthcare</t>
        </is>
      </c>
      <c r="D15" s="24" t="inlineStr">
        <is>
          <t>&lt;500</t>
        </is>
      </c>
      <c r="E15" s="24" t="inlineStr">
        <is>
          <t>US</t>
        </is>
      </c>
      <c r="F15" s="48" t="n">
        <v>1</v>
      </c>
      <c r="G15" s="49" t="n">
        <v>142950</v>
      </c>
      <c r="H15" s="26" t="n">
        <v>2024</v>
      </c>
      <c r="I15" s="18" t="inlineStr"/>
      <c r="J15" s="18" t="inlineStr"/>
    </row>
    <row r="16">
      <c r="A16" s="50" t="inlineStr">
        <is>
          <t>A — Raven + recent</t>
        </is>
      </c>
      <c r="B16" s="11" t="inlineStr">
        <is>
          <t>Chautauqua Institution</t>
        </is>
      </c>
      <c r="C16" s="12" t="inlineStr">
        <is>
          <t>Nonprofit / Social Services</t>
        </is>
      </c>
      <c r="D16" s="12" t="inlineStr">
        <is>
          <t>500-2,000</t>
        </is>
      </c>
      <c r="E16" s="12" t="inlineStr">
        <is>
          <t>US</t>
        </is>
      </c>
      <c r="F16" s="45" t="n">
        <v>2</v>
      </c>
      <c r="G16" s="46" t="n">
        <v>115875</v>
      </c>
      <c r="H16" s="14" t="n">
        <v>2025</v>
      </c>
      <c r="I16" s="18" t="inlineStr"/>
      <c r="J16" s="18" t="inlineStr"/>
    </row>
    <row r="17">
      <c r="A17" s="25" t="inlineStr">
        <is>
          <t>B — Raven, older</t>
        </is>
      </c>
      <c r="B17" s="23" t="inlineStr">
        <is>
          <t>JACAM Catalyst</t>
        </is>
      </c>
      <c r="C17" s="24" t="inlineStr">
        <is>
          <t>Energy / Utilities</t>
        </is>
      </c>
      <c r="D17" s="24" t="inlineStr">
        <is>
          <t>500-2,000</t>
        </is>
      </c>
      <c r="E17" s="24" t="inlineStr">
        <is>
          <t>US</t>
        </is>
      </c>
      <c r="F17" s="48" t="n">
        <v>1</v>
      </c>
      <c r="G17" s="49" t="n">
        <v>107500</v>
      </c>
      <c r="H17" s="26" t="n">
        <v>2024</v>
      </c>
      <c r="I17" s="18" t="inlineStr"/>
      <c r="J17" s="18" t="inlineStr"/>
    </row>
    <row r="18">
      <c r="A18" s="50" t="inlineStr">
        <is>
          <t>A — Raven + recent</t>
        </is>
      </c>
      <c r="B18" s="11" t="inlineStr">
        <is>
          <t>McLeod Software</t>
        </is>
      </c>
      <c r="C18" s="12" t="inlineStr">
        <is>
          <t>Technology</t>
        </is>
      </c>
      <c r="D18" s="12" t="inlineStr">
        <is>
          <t>500-2,000</t>
        </is>
      </c>
      <c r="E18" s="12" t="inlineStr">
        <is>
          <t>US</t>
        </is>
      </c>
      <c r="F18" s="45" t="n">
        <v>1</v>
      </c>
      <c r="G18" s="46" t="n">
        <v>96875</v>
      </c>
      <c r="H18" s="14" t="n">
        <v>2025</v>
      </c>
      <c r="I18" s="18" t="inlineStr"/>
      <c r="J18" s="18" t="inlineStr"/>
    </row>
    <row r="19">
      <c r="A19" s="25" t="inlineStr">
        <is>
          <t>B — Raven, older</t>
        </is>
      </c>
      <c r="B19" s="23" t="inlineStr">
        <is>
          <t>Excelsior University</t>
        </is>
      </c>
      <c r="C19" s="24" t="inlineStr">
        <is>
          <t>Higher Education</t>
        </is>
      </c>
      <c r="D19" s="24" t="inlineStr">
        <is>
          <t>&lt;500</t>
        </is>
      </c>
      <c r="E19" s="24" t="inlineStr">
        <is>
          <t>US</t>
        </is>
      </c>
      <c r="F19" s="48" t="n">
        <v>1</v>
      </c>
      <c r="G19" s="49" t="n">
        <v>79000</v>
      </c>
      <c r="H19" s="26" t="n">
        <v>2024</v>
      </c>
      <c r="I19" s="18" t="inlineStr"/>
      <c r="J19" s="18" t="inlineStr"/>
    </row>
    <row r="20">
      <c r="A20" s="50" t="inlineStr">
        <is>
          <t>A — Raven + recent</t>
        </is>
      </c>
      <c r="B20" s="11" t="inlineStr">
        <is>
          <t>Distributor Wire &amp; Cable</t>
        </is>
      </c>
      <c r="C20" s="12" t="inlineStr">
        <is>
          <t>Manufacturing</t>
        </is>
      </c>
      <c r="D20" s="12" t="inlineStr">
        <is>
          <t>&lt;500</t>
        </is>
      </c>
      <c r="E20" s="12" t="inlineStr">
        <is>
          <t>US</t>
        </is>
      </c>
      <c r="F20" s="45" t="n">
        <v>1</v>
      </c>
      <c r="G20" s="46" t="n">
        <v>54000</v>
      </c>
      <c r="H20" s="14" t="n">
        <v>2025</v>
      </c>
      <c r="I20" s="18" t="inlineStr"/>
      <c r="J20" s="18" t="inlineStr"/>
    </row>
    <row r="21">
      <c r="A21" s="25" t="inlineStr">
        <is>
          <t>B — Raven, older</t>
        </is>
      </c>
      <c r="B21" s="23" t="inlineStr">
        <is>
          <t>Rollins</t>
        </is>
      </c>
      <c r="C21" s="24" t="inlineStr">
        <is>
          <t>Professional Services</t>
        </is>
      </c>
      <c r="D21" s="24" t="inlineStr">
        <is>
          <t>10,000-50,000</t>
        </is>
      </c>
      <c r="E21" s="24" t="inlineStr">
        <is>
          <t>US</t>
        </is>
      </c>
      <c r="F21" s="48" t="n">
        <v>1</v>
      </c>
      <c r="G21" s="49" t="n">
        <v>52750</v>
      </c>
      <c r="H21" s="26" t="n">
        <v>2022</v>
      </c>
      <c r="I21" s="18" t="inlineStr"/>
      <c r="J21" s="18" t="inlineStr"/>
    </row>
    <row r="22">
      <c r="A22" s="13" t="inlineStr">
        <is>
          <t>B — Raven, older</t>
        </is>
      </c>
      <c r="B22" s="11" t="inlineStr">
        <is>
          <t>Pernod Ricard</t>
        </is>
      </c>
      <c r="C22" s="12" t="inlineStr">
        <is>
          <t>Agriculture &amp; Food</t>
        </is>
      </c>
      <c r="D22" s="12" t="inlineStr">
        <is>
          <t>&lt;500</t>
        </is>
      </c>
      <c r="E22" s="12" t="inlineStr">
        <is>
          <t>US</t>
        </is>
      </c>
      <c r="F22" s="45" t="n">
        <v>1</v>
      </c>
      <c r="G22" s="46" t="n">
        <v>37920</v>
      </c>
      <c r="H22" s="14" t="n">
        <v>2024</v>
      </c>
      <c r="I22" s="18" t="inlineStr"/>
      <c r="J22" s="18" t="inlineStr"/>
    </row>
    <row r="23">
      <c r="A23" s="47" t="inlineStr">
        <is>
          <t>A — Raven + recent</t>
        </is>
      </c>
      <c r="B23" s="23" t="inlineStr">
        <is>
          <t>Napoleon</t>
        </is>
      </c>
      <c r="C23" s="24" t="inlineStr">
        <is>
          <t>Manufacturing</t>
        </is>
      </c>
      <c r="D23" s="24" t="inlineStr">
        <is>
          <t>1,000-5,000</t>
        </is>
      </c>
      <c r="E23" s="24" t="inlineStr">
        <is>
          <t>Canada</t>
        </is>
      </c>
      <c r="F23" s="48" t="n">
        <v>2</v>
      </c>
      <c r="G23" s="49" t="n">
        <v>14485.68</v>
      </c>
      <c r="H23" s="26" t="n">
        <v>2025</v>
      </c>
      <c r="I23" s="18" t="inlineStr"/>
      <c r="J23" s="18" t="inlineStr"/>
    </row>
    <row r="24">
      <c r="A24" s="50" t="inlineStr">
        <is>
          <t>A — Raven + recent</t>
        </is>
      </c>
      <c r="B24" s="11" t="inlineStr">
        <is>
          <t>Royal Oak</t>
        </is>
      </c>
      <c r="C24" s="12" t="inlineStr">
        <is>
          <t>Agriculture &amp; Food</t>
        </is>
      </c>
      <c r="D24" s="12" t="inlineStr">
        <is>
          <t>500-2,000</t>
        </is>
      </c>
      <c r="E24" s="12" t="inlineStr">
        <is>
          <t>US</t>
        </is>
      </c>
      <c r="F24" s="45" t="n">
        <v>1</v>
      </c>
      <c r="G24" s="46" t="n">
        <v>5000</v>
      </c>
      <c r="H24" s="14" t="n">
        <v>2026</v>
      </c>
      <c r="I24" s="18" t="inlineStr"/>
      <c r="J24" s="18" t="inlineStr"/>
    </row>
    <row r="25">
      <c r="A25" s="47" t="inlineStr">
        <is>
          <t>A — Raven + recent</t>
        </is>
      </c>
      <c r="B25" s="23" t="inlineStr">
        <is>
          <t>Beem CR047</t>
        </is>
      </c>
      <c r="C25" s="24" t="inlineStr">
        <is>
          <t>Financial Services</t>
        </is>
      </c>
      <c r="D25" s="24" t="inlineStr">
        <is>
          <t>500-2,000</t>
        </is>
      </c>
      <c r="E25" s="24" t="inlineStr">
        <is>
          <t>Canada</t>
        </is>
      </c>
      <c r="F25" s="48" t="n">
        <v>1</v>
      </c>
      <c r="G25" s="49" t="n">
        <v>3292.2</v>
      </c>
      <c r="H25" s="26" t="n">
        <v>2026</v>
      </c>
      <c r="I25" s="18" t="inlineStr"/>
      <c r="J25" s="18" t="inlineStr"/>
    </row>
  </sheetData>
  <pageMargins left="0.75" right="0.75" top="1" bottom="1" header="0.5" footer="0.5"/>
</worksheet>
</file>

<file path=xl/worksheets/sheet3.xml><?xml version="1.0" encoding="utf-8"?>
<worksheet xmlns="http://schemas.openxmlformats.org/spreadsheetml/2006/main">
  <sheetPr>
    <tabColor rgb="000A1628"/>
    <outlinePr summaryBelow="1" summaryRight="1"/>
    <pageSetUpPr/>
  </sheetPr>
  <dimension ref="A1:E70"/>
  <sheetViews>
    <sheetView showGridLines="0" workbookViewId="0">
      <selection activeCell="A1" sqref="A1"/>
    </sheetView>
  </sheetViews>
  <sheetFormatPr baseColWidth="8" defaultRowHeight="15"/>
  <cols>
    <col width="30" customWidth="1" min="1" max="1"/>
    <col width="12" customWidth="1" min="2" max="2"/>
    <col width="12" customWidth="1" min="3" max="3"/>
    <col width="20" customWidth="1" min="4" max="4"/>
    <col width="26" customWidth="1" min="5" max="5"/>
  </cols>
  <sheetData>
    <row r="1" ht="16" customHeight="1">
      <c r="A1" s="2" t="inlineStr">
        <is>
          <t>ALIGN HCM  ·  OBJECTIVE 4</t>
        </is>
      </c>
      <c r="B1" s="1" t="n"/>
      <c r="C1" s="1" t="n"/>
      <c r="D1" s="1" t="n"/>
      <c r="E1" s="1" t="n"/>
    </row>
    <row r="2" ht="24" customHeight="1">
      <c r="A2" s="3" t="inlineStr">
        <is>
          <t>Representation check — Objective 4</t>
        </is>
      </c>
      <c r="B2" s="1" t="n"/>
      <c r="C2" s="1" t="n"/>
      <c r="D2" s="1" t="n"/>
      <c r="E2" s="1" t="n"/>
    </row>
    <row r="3" ht="16" customHeight="1">
      <c r="A3" s="4" t="inlineStr">
        <is>
          <t>Shortlist coverage vs the whole book. "Gap" flags a dimension where the shortlist under-represents the business.</t>
        </is>
      </c>
      <c r="B3" s="1" t="n"/>
      <c r="C3" s="1" t="n"/>
      <c r="D3" s="1" t="n"/>
      <c r="E3" s="1" t="n"/>
    </row>
    <row r="5" ht="22" customHeight="1">
      <c r="A5" s="51" t="inlineStr">
        <is>
          <t>INDUSTRY / VERTICAL</t>
        </is>
      </c>
    </row>
    <row r="6" ht="24" customHeight="1">
      <c r="A6" s="8" t="inlineStr">
        <is>
          <t>Value</t>
        </is>
      </c>
      <c r="B6" s="8" t="inlineStr">
        <is>
          <t>In shortlist</t>
        </is>
      </c>
      <c r="C6" s="8" t="inlineStr">
        <is>
          <t>In full book</t>
        </is>
      </c>
      <c r="D6" s="8" t="inlineStr">
        <is>
          <t>Book value (true USD)</t>
        </is>
      </c>
      <c r="E6" s="8" t="inlineStr">
        <is>
          <t>Flag</t>
        </is>
      </c>
    </row>
    <row r="7" ht="15" customHeight="1">
      <c r="A7" s="11" t="inlineStr">
        <is>
          <t>Retail / Consumer</t>
        </is>
      </c>
      <c r="B7" s="45" t="n">
        <v>2</v>
      </c>
      <c r="C7" s="45" t="n">
        <v>42</v>
      </c>
      <c r="D7" s="46" t="n">
        <v>7615838.43</v>
      </c>
      <c r="E7" s="52" t="inlineStr"/>
    </row>
    <row r="8" ht="15" customHeight="1">
      <c r="A8" s="23" t="inlineStr">
        <is>
          <t>Healthcare</t>
        </is>
      </c>
      <c r="B8" s="48" t="n">
        <v>4</v>
      </c>
      <c r="C8" s="48" t="n">
        <v>52</v>
      </c>
      <c r="D8" s="49" t="n">
        <v>7165576.69</v>
      </c>
      <c r="E8" s="53" t="inlineStr"/>
    </row>
    <row r="9" ht="15" customHeight="1">
      <c r="A9" s="11" t="inlineStr">
        <is>
          <t>Manufacturing</t>
        </is>
      </c>
      <c r="B9" s="45" t="n">
        <v>4</v>
      </c>
      <c r="C9" s="45" t="n">
        <v>67</v>
      </c>
      <c r="D9" s="46" t="n">
        <v>6947435.45</v>
      </c>
      <c r="E9" s="52" t="inlineStr"/>
    </row>
    <row r="10" ht="15" customHeight="1">
      <c r="A10" s="23" t="inlineStr">
        <is>
          <t>Professional Services</t>
        </is>
      </c>
      <c r="B10" s="48" t="n">
        <v>4</v>
      </c>
      <c r="C10" s="48" t="n">
        <v>42</v>
      </c>
      <c r="D10" s="49" t="n">
        <v>4982542.72</v>
      </c>
      <c r="E10" s="53" t="inlineStr"/>
    </row>
    <row r="11" ht="15" customHeight="1">
      <c r="A11" s="11" t="inlineStr">
        <is>
          <t>Technology</t>
        </is>
      </c>
      <c r="B11" s="45" t="n">
        <v>1</v>
      </c>
      <c r="C11" s="45" t="n">
        <v>57</v>
      </c>
      <c r="D11" s="46" t="n">
        <v>4511949.8708</v>
      </c>
      <c r="E11" s="52" t="inlineStr"/>
    </row>
    <row r="12" ht="15" customHeight="1">
      <c r="A12" s="23" t="inlineStr">
        <is>
          <t>Hospitality</t>
        </is>
      </c>
      <c r="B12" s="48" t="n">
        <v>2</v>
      </c>
      <c r="C12" s="48" t="n">
        <v>41</v>
      </c>
      <c r="D12" s="49" t="n">
        <v>3740837.912</v>
      </c>
      <c r="E12" s="53" t="inlineStr"/>
    </row>
    <row r="13" ht="15" customHeight="1">
      <c r="A13" s="11" t="inlineStr">
        <is>
          <t>Transportation &amp; Logistics</t>
        </is>
      </c>
      <c r="B13" s="45" t="n">
        <v>3</v>
      </c>
      <c r="C13" s="45" t="n">
        <v>21</v>
      </c>
      <c r="D13" s="46" t="n">
        <v>2969944.396</v>
      </c>
      <c r="E13" s="52" t="inlineStr"/>
    </row>
    <row r="14" ht="15" customHeight="1">
      <c r="A14" s="23" t="inlineStr">
        <is>
          <t>Financial Services</t>
        </is>
      </c>
      <c r="B14" s="48" t="n">
        <v>2</v>
      </c>
      <c r="C14" s="48" t="n">
        <v>27</v>
      </c>
      <c r="D14" s="49" t="n">
        <v>2840498.9608</v>
      </c>
      <c r="E14" s="53" t="inlineStr"/>
    </row>
    <row r="15" ht="15" customHeight="1">
      <c r="A15" s="11" t="inlineStr">
        <is>
          <t>Agriculture &amp; Food</t>
        </is>
      </c>
      <c r="B15" s="45" t="n">
        <v>2</v>
      </c>
      <c r="C15" s="45" t="n">
        <v>25</v>
      </c>
      <c r="D15" s="46" t="n">
        <v>2461571.7</v>
      </c>
      <c r="E15" s="52" t="inlineStr"/>
    </row>
    <row r="16" ht="15" customHeight="1">
      <c r="A16" s="23" t="inlineStr">
        <is>
          <t>Public Sector</t>
        </is>
      </c>
      <c r="B16" s="48" t="n">
        <v>1</v>
      </c>
      <c r="C16" s="48" t="n">
        <v>10</v>
      </c>
      <c r="D16" s="49" t="n">
        <v>2431570.5</v>
      </c>
      <c r="E16" s="53" t="inlineStr"/>
    </row>
    <row r="17" ht="15" customHeight="1">
      <c r="A17" s="54" t="inlineStr">
        <is>
          <t>Construction</t>
        </is>
      </c>
      <c r="B17" s="55" t="n">
        <v>0</v>
      </c>
      <c r="C17" s="55" t="n">
        <v>18</v>
      </c>
      <c r="D17" s="56" t="n">
        <v>1218115.9</v>
      </c>
      <c r="E17" s="57" t="inlineStr">
        <is>
          <t>GAP — not represented</t>
        </is>
      </c>
    </row>
    <row r="18" ht="15" customHeight="1">
      <c r="A18" s="23" t="inlineStr">
        <is>
          <t>Energy / Utilities</t>
        </is>
      </c>
      <c r="B18" s="48" t="n">
        <v>1</v>
      </c>
      <c r="C18" s="48" t="n">
        <v>16</v>
      </c>
      <c r="D18" s="49" t="n">
        <v>1036128.2</v>
      </c>
      <c r="E18" s="53" t="inlineStr"/>
    </row>
    <row r="19" ht="15" customHeight="1">
      <c r="A19" s="11" t="inlineStr">
        <is>
          <t>Real Estate</t>
        </is>
      </c>
      <c r="B19" s="45" t="n">
        <v>2</v>
      </c>
      <c r="C19" s="45" t="n">
        <v>8</v>
      </c>
      <c r="D19" s="46" t="n">
        <v>720037.8</v>
      </c>
      <c r="E19" s="52" t="inlineStr"/>
    </row>
    <row r="20" ht="15" customHeight="1">
      <c r="A20" s="23" t="inlineStr">
        <is>
          <t>Nonprofit / Social Services</t>
        </is>
      </c>
      <c r="B20" s="48" t="n">
        <v>1</v>
      </c>
      <c r="C20" s="48" t="n">
        <v>14</v>
      </c>
      <c r="D20" s="49" t="n">
        <v>490258.4</v>
      </c>
      <c r="E20" s="53" t="inlineStr"/>
    </row>
    <row r="21" ht="15" customHeight="1">
      <c r="A21" s="11" t="inlineStr">
        <is>
          <t>Higher Education</t>
        </is>
      </c>
      <c r="B21" s="45" t="n">
        <v>1</v>
      </c>
      <c r="C21" s="45" t="n">
        <v>4</v>
      </c>
      <c r="D21" s="46" t="n">
        <v>288653.56</v>
      </c>
      <c r="E21" s="52" t="inlineStr"/>
    </row>
    <row r="22" ht="15" customHeight="1">
      <c r="A22" s="54" t="inlineStr">
        <is>
          <t>Government Contractor</t>
        </is>
      </c>
      <c r="B22" s="55" t="n">
        <v>0</v>
      </c>
      <c r="C22" s="55" t="n">
        <v>4</v>
      </c>
      <c r="D22" s="56" t="n">
        <v>175050</v>
      </c>
      <c r="E22" s="57" t="inlineStr">
        <is>
          <t>absent (low value)</t>
        </is>
      </c>
    </row>
    <row r="23" ht="15" customHeight="1">
      <c r="A23" s="54" t="inlineStr">
        <is>
          <t>Other</t>
        </is>
      </c>
      <c r="B23" s="55" t="n">
        <v>0</v>
      </c>
      <c r="C23" s="55" t="n">
        <v>5</v>
      </c>
      <c r="D23" s="56" t="n">
        <v>161200</v>
      </c>
      <c r="E23" s="57" t="inlineStr">
        <is>
          <t>absent (low value)</t>
        </is>
      </c>
    </row>
    <row r="24" ht="22" customHeight="1">
      <c r="A24" s="51" t="inlineStr">
        <is>
          <t>COMPANY SIZE (HC)</t>
        </is>
      </c>
    </row>
    <row r="25" ht="24" customHeight="1">
      <c r="A25" s="8" t="inlineStr">
        <is>
          <t>Value</t>
        </is>
      </c>
      <c r="B25" s="8" t="inlineStr">
        <is>
          <t>In shortlist</t>
        </is>
      </c>
      <c r="C25" s="8" t="inlineStr">
        <is>
          <t>In full book</t>
        </is>
      </c>
      <c r="D25" s="8" t="inlineStr">
        <is>
          <t>Book value (true USD)</t>
        </is>
      </c>
      <c r="E25" s="8" t="inlineStr">
        <is>
          <t>Flag</t>
        </is>
      </c>
    </row>
    <row r="26" ht="15" customHeight="1">
      <c r="A26" s="11" t="inlineStr">
        <is>
          <t>500-2,000</t>
        </is>
      </c>
      <c r="B26" s="45" t="n">
        <v>7</v>
      </c>
      <c r="C26" s="45" t="n">
        <v>158</v>
      </c>
      <c r="D26" s="46" t="n">
        <v>12889958.2708</v>
      </c>
      <c r="E26" s="52" t="inlineStr"/>
    </row>
    <row r="27" ht="15" customHeight="1">
      <c r="A27" s="23" t="inlineStr">
        <is>
          <t>10,000-50,000</t>
        </is>
      </c>
      <c r="B27" s="48" t="n">
        <v>6</v>
      </c>
      <c r="C27" s="48" t="n">
        <v>48</v>
      </c>
      <c r="D27" s="49" t="n">
        <v>11022165</v>
      </c>
      <c r="E27" s="53" t="inlineStr"/>
    </row>
    <row r="28" ht="15" customHeight="1">
      <c r="A28" s="11" t="inlineStr">
        <is>
          <t>5,000-10,000</t>
        </is>
      </c>
      <c r="B28" s="45" t="n">
        <v>4</v>
      </c>
      <c r="C28" s="45" t="n">
        <v>74</v>
      </c>
      <c r="D28" s="46" t="n">
        <v>10747532.1808</v>
      </c>
      <c r="E28" s="52" t="inlineStr"/>
    </row>
    <row r="29" ht="15" customHeight="1">
      <c r="A29" s="23" t="inlineStr">
        <is>
          <t>2,000-5,000</t>
        </is>
      </c>
      <c r="B29" s="48" t="n">
        <v>7</v>
      </c>
      <c r="C29" s="48" t="n">
        <v>77</v>
      </c>
      <c r="D29" s="49" t="n">
        <v>8773353.588</v>
      </c>
      <c r="E29" s="53" t="inlineStr"/>
    </row>
    <row r="30" ht="15" customHeight="1">
      <c r="A30" s="11" t="inlineStr">
        <is>
          <t>&lt;500</t>
        </is>
      </c>
      <c r="B30" s="45" t="n">
        <v>5</v>
      </c>
      <c r="C30" s="45" t="n">
        <v>84</v>
      </c>
      <c r="D30" s="46" t="n">
        <v>4135075.77</v>
      </c>
      <c r="E30" s="52" t="inlineStr"/>
    </row>
    <row r="31" ht="15" customHeight="1">
      <c r="A31" s="23" t="inlineStr">
        <is>
          <t>50,000+</t>
        </is>
      </c>
      <c r="B31" s="48" t="n">
        <v>1</v>
      </c>
      <c r="C31" s="48" t="n">
        <v>9</v>
      </c>
      <c r="D31" s="49" t="n">
        <v>2129640</v>
      </c>
      <c r="E31" s="53" t="inlineStr"/>
    </row>
    <row r="32" ht="15" customHeight="1">
      <c r="A32" s="54" t="inlineStr">
        <is>
          <t>1,000-5,000</t>
        </is>
      </c>
      <c r="B32" s="55" t="n">
        <v>0</v>
      </c>
      <c r="C32" s="55" t="n">
        <v>2</v>
      </c>
      <c r="D32" s="56" t="n">
        <v>14485.68</v>
      </c>
      <c r="E32" s="57" t="inlineStr">
        <is>
          <t>absent (low value)</t>
        </is>
      </c>
    </row>
    <row r="33" ht="22" customHeight="1">
      <c r="A33" s="51" t="inlineStr">
        <is>
          <t>HCM PLATFORM</t>
        </is>
      </c>
    </row>
    <row r="34" ht="24" customHeight="1">
      <c r="A34" s="8" t="inlineStr">
        <is>
          <t>Value</t>
        </is>
      </c>
      <c r="B34" s="8" t="inlineStr">
        <is>
          <t>In shortlist</t>
        </is>
      </c>
      <c r="C34" s="8" t="inlineStr">
        <is>
          <t>In full book</t>
        </is>
      </c>
      <c r="D34" s="8" t="inlineStr">
        <is>
          <t>Book value (true USD)</t>
        </is>
      </c>
      <c r="E34" s="8" t="inlineStr">
        <is>
          <t>Flag</t>
        </is>
      </c>
    </row>
    <row r="35" ht="15" customHeight="1">
      <c r="A35" s="11" t="inlineStr">
        <is>
          <t>UKG Pro</t>
        </is>
      </c>
      <c r="B35" s="45" t="n">
        <v>26</v>
      </c>
      <c r="C35" s="45" t="n">
        <v>401</v>
      </c>
      <c r="D35" s="46" t="n">
        <v>47272458.5296</v>
      </c>
      <c r="E35" s="52" t="inlineStr"/>
    </row>
    <row r="36" ht="15" customHeight="1">
      <c r="A36" s="23" t="inlineStr">
        <is>
          <t>UKG Ready</t>
        </is>
      </c>
      <c r="B36" s="48" t="n">
        <v>1</v>
      </c>
      <c r="C36" s="48" t="n">
        <v>43</v>
      </c>
      <c r="D36" s="49" t="n">
        <v>1761421.96</v>
      </c>
      <c r="E36" s="53" t="inlineStr"/>
    </row>
    <row r="37" ht="15" customHeight="1">
      <c r="A37" s="11" t="inlineStr">
        <is>
          <t>Dayforce</t>
        </is>
      </c>
      <c r="B37" s="45" t="n">
        <v>3</v>
      </c>
      <c r="C37" s="45" t="n">
        <v>9</v>
      </c>
      <c r="D37" s="46" t="n">
        <v>723330</v>
      </c>
      <c r="E37" s="52" t="inlineStr"/>
    </row>
    <row r="38" ht="22" customHeight="1">
      <c r="A38" s="51" t="inlineStr">
        <is>
          <t>GEOGRAPHY</t>
        </is>
      </c>
    </row>
    <row r="39" ht="24" customHeight="1">
      <c r="A39" s="8" t="inlineStr">
        <is>
          <t>Value</t>
        </is>
      </c>
      <c r="B39" s="8" t="inlineStr">
        <is>
          <t>In shortlist</t>
        </is>
      </c>
      <c r="C39" s="8" t="inlineStr">
        <is>
          <t>In full book</t>
        </is>
      </c>
      <c r="D39" s="8" t="inlineStr">
        <is>
          <t>Book value (true USD)</t>
        </is>
      </c>
      <c r="E39" s="8" t="inlineStr">
        <is>
          <t>Flag</t>
        </is>
      </c>
    </row>
    <row r="40" ht="15" customHeight="1">
      <c r="A40" s="11" t="inlineStr">
        <is>
          <t>US</t>
        </is>
      </c>
      <c r="B40" s="45" t="n">
        <v>22</v>
      </c>
      <c r="C40" s="45" t="n">
        <v>342</v>
      </c>
      <c r="D40" s="46" t="n">
        <v>40051748</v>
      </c>
      <c r="E40" s="52" t="inlineStr"/>
    </row>
    <row r="41" ht="15" customHeight="1">
      <c r="A41" s="23" t="inlineStr">
        <is>
          <t>Canada</t>
        </is>
      </c>
      <c r="B41" s="48" t="n">
        <v>5</v>
      </c>
      <c r="C41" s="48" t="n">
        <v>78</v>
      </c>
      <c r="D41" s="49" t="n">
        <v>6975627.4896</v>
      </c>
      <c r="E41" s="53" t="inlineStr"/>
    </row>
    <row r="42" ht="15" customHeight="1">
      <c r="A42" s="11" t="inlineStr">
        <is>
          <t>Multi</t>
        </is>
      </c>
      <c r="B42" s="45" t="n">
        <v>2</v>
      </c>
      <c r="C42" s="45" t="n">
        <v>28</v>
      </c>
      <c r="D42" s="46" t="n">
        <v>2293095</v>
      </c>
      <c r="E42" s="52" t="inlineStr"/>
    </row>
    <row r="43" ht="15" customHeight="1">
      <c r="A43" s="23" t="inlineStr">
        <is>
          <t>Other</t>
        </is>
      </c>
      <c r="B43" s="48" t="n">
        <v>1</v>
      </c>
      <c r="C43" s="48" t="n">
        <v>4</v>
      </c>
      <c r="D43" s="49" t="n">
        <v>391740</v>
      </c>
      <c r="E43" s="53" t="inlineStr"/>
    </row>
    <row r="44" ht="22" customHeight="1">
      <c r="A44" s="51" t="inlineStr">
        <is>
          <t>STORY TYPE</t>
        </is>
      </c>
    </row>
    <row r="45" ht="24" customHeight="1">
      <c r="A45" s="8" t="inlineStr">
        <is>
          <t>Value</t>
        </is>
      </c>
      <c r="B45" s="8" t="inlineStr">
        <is>
          <t>In shortlist</t>
        </is>
      </c>
      <c r="C45" s="8" t="inlineStr">
        <is>
          <t>In full book</t>
        </is>
      </c>
      <c r="D45" s="8" t="inlineStr">
        <is>
          <t>Book value (true USD)</t>
        </is>
      </c>
      <c r="E45" s="8" t="inlineStr">
        <is>
          <t>Flag</t>
        </is>
      </c>
    </row>
    <row r="46" ht="15" customHeight="1">
      <c r="A46" s="11" t="inlineStr">
        <is>
          <t>Implementation / Go-Live</t>
        </is>
      </c>
      <c r="B46" s="45" t="n">
        <v>8</v>
      </c>
      <c r="C46" s="45" t="n">
        <v>129</v>
      </c>
      <c r="D46" s="46" t="n">
        <v>18938059.636</v>
      </c>
      <c r="E46" s="52" t="inlineStr"/>
    </row>
    <row r="47" ht="15" customHeight="1">
      <c r="A47" s="23" t="inlineStr">
        <is>
          <t>SmartCare Maintain</t>
        </is>
      </c>
      <c r="B47" s="48" t="n">
        <v>6</v>
      </c>
      <c r="C47" s="48" t="n">
        <v>65</v>
      </c>
      <c r="D47" s="49" t="n">
        <v>7824191.73</v>
      </c>
      <c r="E47" s="53" t="inlineStr"/>
    </row>
    <row r="48" ht="15" customHeight="1">
      <c r="A48" s="11" t="inlineStr">
        <is>
          <t>Migration</t>
        </is>
      </c>
      <c r="B48" s="45" t="n">
        <v>7</v>
      </c>
      <c r="C48" s="45" t="n">
        <v>21</v>
      </c>
      <c r="D48" s="46" t="n">
        <v>4010730</v>
      </c>
      <c r="E48" s="52" t="inlineStr"/>
    </row>
    <row r="49" ht="15" customHeight="1">
      <c r="A49" s="23" t="inlineStr">
        <is>
          <t>Acquisition / Carve-out Support</t>
        </is>
      </c>
      <c r="B49" s="48" t="n">
        <v>2</v>
      </c>
      <c r="C49" s="48" t="n">
        <v>21</v>
      </c>
      <c r="D49" s="49" t="n">
        <v>2896708.2108</v>
      </c>
      <c r="E49" s="53" t="inlineStr"/>
    </row>
    <row r="50" ht="15" customHeight="1">
      <c r="A50" s="54" t="inlineStr">
        <is>
          <t>Engagement Extension</t>
        </is>
      </c>
      <c r="B50" s="55" t="n">
        <v>0</v>
      </c>
      <c r="C50" s="55" t="n">
        <v>8</v>
      </c>
      <c r="D50" s="56" t="n">
        <v>2293005</v>
      </c>
      <c r="E50" s="57" t="inlineStr">
        <is>
          <t>GAP — not represented</t>
        </is>
      </c>
    </row>
    <row r="51" ht="15" customHeight="1">
      <c r="A51" s="23" t="inlineStr">
        <is>
          <t>Add-on Expansion</t>
        </is>
      </c>
      <c r="B51" s="48" t="n">
        <v>1</v>
      </c>
      <c r="C51" s="48" t="n">
        <v>12</v>
      </c>
      <c r="D51" s="49" t="n">
        <v>2287050</v>
      </c>
      <c r="E51" s="53" t="inlineStr"/>
    </row>
    <row r="52" ht="15" customHeight="1">
      <c r="A52" s="11" t="inlineStr">
        <is>
          <t>Integration</t>
        </is>
      </c>
      <c r="B52" s="45" t="n">
        <v>3</v>
      </c>
      <c r="C52" s="45" t="n">
        <v>52</v>
      </c>
      <c r="D52" s="46" t="n">
        <v>2071348.68</v>
      </c>
      <c r="E52" s="52" t="inlineStr"/>
    </row>
    <row r="53" ht="15" customHeight="1">
      <c r="A53" s="23" t="inlineStr">
        <is>
          <t>Staff Augmentation / PM</t>
        </is>
      </c>
      <c r="B53" s="48" t="n">
        <v>1</v>
      </c>
      <c r="C53" s="48" t="n">
        <v>8</v>
      </c>
      <c r="D53" s="49" t="n">
        <v>1808113.952</v>
      </c>
      <c r="E53" s="53" t="inlineStr"/>
    </row>
    <row r="54" ht="15" customHeight="1">
      <c r="A54" s="54" t="inlineStr">
        <is>
          <t>SmartCare Maintain + Add-on</t>
        </is>
      </c>
      <c r="B54" s="55" t="n">
        <v>0</v>
      </c>
      <c r="C54" s="55" t="n">
        <v>8</v>
      </c>
      <c r="D54" s="56" t="n">
        <v>1524001.19</v>
      </c>
      <c r="E54" s="57" t="inlineStr">
        <is>
          <t>GAP — not represented</t>
        </is>
      </c>
    </row>
    <row r="55" ht="15" customHeight="1">
      <c r="A55" s="54" t="inlineStr">
        <is>
          <t>SmartCare Renewal</t>
        </is>
      </c>
      <c r="B55" s="55" t="n">
        <v>0</v>
      </c>
      <c r="C55" s="55" t="n">
        <v>5</v>
      </c>
      <c r="D55" s="56" t="n">
        <v>1089691</v>
      </c>
      <c r="E55" s="57" t="inlineStr">
        <is>
          <t>GAP — not represented</t>
        </is>
      </c>
    </row>
    <row r="56" ht="15" customHeight="1">
      <c r="A56" s="54" t="inlineStr">
        <is>
          <t>Add-on Expansion (Change Request)</t>
        </is>
      </c>
      <c r="B56" s="55" t="n">
        <v>0</v>
      </c>
      <c r="C56" s="55" t="n">
        <v>35</v>
      </c>
      <c r="D56" s="56" t="n">
        <v>881480.01</v>
      </c>
      <c r="E56" s="57" t="inlineStr">
        <is>
          <t>GAP — not represented</t>
        </is>
      </c>
    </row>
    <row r="57" ht="15" customHeight="1">
      <c r="A57" s="23" t="inlineStr">
        <is>
          <t>Assessment / Optimization</t>
        </is>
      </c>
      <c r="B57" s="48" t="n">
        <v>1</v>
      </c>
      <c r="C57" s="48" t="n">
        <v>17</v>
      </c>
      <c r="D57" s="49" t="n">
        <v>800009.12</v>
      </c>
      <c r="E57" s="53" t="inlineStr"/>
    </row>
    <row r="58" ht="15" customHeight="1">
      <c r="A58" s="54" t="inlineStr">
        <is>
          <t>Client-Side Support</t>
        </is>
      </c>
      <c r="B58" s="55" t="n">
        <v>0</v>
      </c>
      <c r="C58" s="55" t="n">
        <v>9</v>
      </c>
      <c r="D58" s="56" t="n">
        <v>723062.0608</v>
      </c>
      <c r="E58" s="57" t="inlineStr">
        <is>
          <t>GAP — not represented</t>
        </is>
      </c>
    </row>
    <row r="59" ht="15" customHeight="1">
      <c r="A59" s="54" t="inlineStr">
        <is>
          <t>Post-Live Stabilization</t>
        </is>
      </c>
      <c r="B59" s="55" t="n">
        <v>0</v>
      </c>
      <c r="C59" s="55" t="n">
        <v>8</v>
      </c>
      <c r="D59" s="56" t="n">
        <v>518205.6</v>
      </c>
      <c r="E59" s="57" t="inlineStr">
        <is>
          <t>GAP — not represented</t>
        </is>
      </c>
    </row>
    <row r="60" ht="15" customHeight="1">
      <c r="A60" s="11" t="inlineStr">
        <is>
          <t>Comp &amp; Performance Project</t>
        </is>
      </c>
      <c r="B60" s="45" t="n">
        <v>1</v>
      </c>
      <c r="C60" s="45" t="n">
        <v>6</v>
      </c>
      <c r="D60" s="46" t="n">
        <v>462400</v>
      </c>
      <c r="E60" s="52" t="inlineStr"/>
    </row>
    <row r="61" ht="15" customHeight="1">
      <c r="A61" s="54" t="inlineStr">
        <is>
          <t>Post-Live Support</t>
        </is>
      </c>
      <c r="B61" s="55" t="n">
        <v>0</v>
      </c>
      <c r="C61" s="55" t="n">
        <v>9</v>
      </c>
      <c r="D61" s="56" t="n">
        <v>407850</v>
      </c>
      <c r="E61" s="57" t="inlineStr">
        <is>
          <t>GAP — not represented</t>
        </is>
      </c>
    </row>
    <row r="62" ht="15" customHeight="1">
      <c r="A62" s="54" t="inlineStr">
        <is>
          <t>Training / Enablement</t>
        </is>
      </c>
      <c r="B62" s="55" t="n">
        <v>0</v>
      </c>
      <c r="C62" s="55" t="n">
        <v>12</v>
      </c>
      <c r="D62" s="56" t="n">
        <v>349795</v>
      </c>
      <c r="E62" s="57" t="inlineStr">
        <is>
          <t>GAP — not represented</t>
        </is>
      </c>
    </row>
    <row r="63" ht="15" customHeight="1">
      <c r="A63" s="54" t="inlineStr">
        <is>
          <t>Implementation / Go-Live (Phased)</t>
        </is>
      </c>
      <c r="B63" s="55" t="n">
        <v>0</v>
      </c>
      <c r="C63" s="55" t="n">
        <v>2</v>
      </c>
      <c r="D63" s="56" t="n">
        <v>284400</v>
      </c>
      <c r="E63" s="57" t="inlineStr">
        <is>
          <t>absent (low value)</t>
        </is>
      </c>
    </row>
    <row r="64" ht="15" customHeight="1">
      <c r="A64" s="54" t="inlineStr">
        <is>
          <t>Consulting / Advisory</t>
        </is>
      </c>
      <c r="B64" s="55" t="n">
        <v>0</v>
      </c>
      <c r="C64" s="55" t="n">
        <v>3</v>
      </c>
      <c r="D64" s="56" t="n">
        <v>259013.2</v>
      </c>
      <c r="E64" s="57" t="inlineStr">
        <is>
          <t>absent (low value)</t>
        </is>
      </c>
    </row>
    <row r="65" ht="15" customHeight="1">
      <c r="A65" s="54" t="inlineStr">
        <is>
          <t>Talent Acquisition Project</t>
        </is>
      </c>
      <c r="B65" s="55" t="n">
        <v>0</v>
      </c>
      <c r="C65" s="55" t="n">
        <v>4</v>
      </c>
      <c r="D65" s="56" t="n">
        <v>86800</v>
      </c>
      <c r="E65" s="57" t="inlineStr">
        <is>
          <t>absent (low value)</t>
        </is>
      </c>
    </row>
    <row r="66" ht="15" customHeight="1">
      <c r="A66" s="54" t="inlineStr">
        <is>
          <t>Data Conversion</t>
        </is>
      </c>
      <c r="B66" s="55" t="n">
        <v>0</v>
      </c>
      <c r="C66" s="55" t="n">
        <v>7</v>
      </c>
      <c r="D66" s="56" t="n">
        <v>83000</v>
      </c>
      <c r="E66" s="57" t="inlineStr">
        <is>
          <t>absent (low value)</t>
        </is>
      </c>
    </row>
    <row r="67" ht="15" customHeight="1">
      <c r="A67" s="54" t="inlineStr">
        <is>
          <t>Reporting / BI</t>
        </is>
      </c>
      <c r="B67" s="55" t="n">
        <v>0</v>
      </c>
      <c r="C67" s="55" t="n">
        <v>8</v>
      </c>
      <c r="D67" s="56" t="n">
        <v>53046.1</v>
      </c>
      <c r="E67" s="57" t="inlineStr">
        <is>
          <t>absent (low value)</t>
        </is>
      </c>
    </row>
    <row r="68" ht="15" customHeight="1">
      <c r="A68" s="54" t="inlineStr">
        <is>
          <t>Benefits Project</t>
        </is>
      </c>
      <c r="B68" s="55" t="n">
        <v>0</v>
      </c>
      <c r="C68" s="55" t="n">
        <v>1</v>
      </c>
      <c r="D68" s="56" t="n">
        <v>50000</v>
      </c>
      <c r="E68" s="57" t="inlineStr">
        <is>
          <t>absent (low value)</t>
        </is>
      </c>
    </row>
    <row r="69" ht="15" customHeight="1">
      <c r="A69" s="54" t="inlineStr">
        <is>
          <t>Year-End / Open Enrollment Support</t>
        </is>
      </c>
      <c r="B69" s="55" t="n">
        <v>0</v>
      </c>
      <c r="C69" s="55" t="n">
        <v>1</v>
      </c>
      <c r="D69" s="56" t="n">
        <v>29050</v>
      </c>
      <c r="E69" s="57" t="inlineStr">
        <is>
          <t>absent (low value)</t>
        </is>
      </c>
    </row>
    <row r="70" ht="15" customHeight="1">
      <c r="A70" s="54" t="inlineStr">
        <is>
          <t>Audit / Compliance</t>
        </is>
      </c>
      <c r="B70" s="55" t="n">
        <v>0</v>
      </c>
      <c r="C70" s="55" t="n">
        <v>2</v>
      </c>
      <c r="D70" s="56" t="n">
        <v>26200</v>
      </c>
      <c r="E70" s="57" t="inlineStr">
        <is>
          <t>absent (low value)</t>
        </is>
      </c>
    </row>
  </sheetData>
  <pageMargins left="0.75" right="0.75" top="1" bottom="1" header="0.5" footer="0.5"/>
</worksheet>
</file>

<file path=xl/worksheets/sheet4.xml><?xml version="1.0" encoding="utf-8"?>
<worksheet xmlns="http://schemas.openxmlformats.org/spreadsheetml/2006/main">
  <sheetPr>
    <tabColor rgb="000A1628"/>
    <outlinePr summaryBelow="1" summaryRight="1"/>
    <pageSetUpPr/>
  </sheetPr>
  <dimension ref="A1:A32"/>
  <sheetViews>
    <sheetView showGridLines="0" workbookViewId="0">
      <selection activeCell="A1" sqref="A1"/>
    </sheetView>
  </sheetViews>
  <sheetFormatPr baseColWidth="8" defaultRowHeight="15"/>
  <cols>
    <col width="118" customWidth="1" min="1" max="1"/>
  </cols>
  <sheetData>
    <row r="1" ht="16" customHeight="1">
      <c r="A1" s="2" t="inlineStr">
        <is>
          <t>ALIGN HCM  ·  INTERNAL USE</t>
        </is>
      </c>
    </row>
    <row r="2" ht="24" customHeight="1">
      <c r="A2" s="3" t="inlineStr">
        <is>
          <t>Top 30 Story Shortlist — how this was built</t>
        </is>
      </c>
    </row>
    <row r="3" ht="16" customHeight="1">
      <c r="A3" s="4" t="inlineStr">
        <is>
          <t>Method, source, and what this file needs from you</t>
        </is>
      </c>
    </row>
    <row r="5" ht="14" customHeight="1"/>
    <row r="6" ht="26" customHeight="1">
      <c r="A6" s="58" t="inlineStr">
        <is>
          <t>Source &amp; scope</t>
        </is>
      </c>
    </row>
    <row r="7" ht="43" customHeight="1">
      <c r="A7" s="59" t="inlineStr">
        <is>
          <t>Built from Client_Story_Database_v8.xlsx, Stories tab, rows 1-459 (453 of 483 engagements = 94%). The final ~30 rows and 4 of the 5 worksheets were not readable through the Microsoft 365 connector, so this shortlist may shift once those rows are included.</t>
        </is>
      </c>
    </row>
    <row r="8" ht="30" customHeight="1">
      <c r="A8" s="59" t="inlineStr">
        <is>
          <t>Deal values cross-verified live against HubSpot portal 242825734 on 10 Aug 2026. Read-only: nothing was created, changed or sent.</t>
        </is>
      </c>
    </row>
    <row r="9" ht="14" customHeight="1"/>
    <row r="10" ht="26" customHeight="1">
      <c r="A10" s="58" t="inlineStr">
        <is>
          <t>One correction you should apply to the source workbook</t>
        </is>
      </c>
    </row>
    <row r="11" ht="43" customHeight="1">
      <c r="A11" s="59" t="inlineStr">
        <is>
          <t>The Stories tab Deal Size ($) column sums raw HubSpot "amount", not "amount_in_home_currency". Because Align books in USD and CAD, every Canadian engagement is overstated — by 36.7% relative to true USD. Portfolio-wide that is $56,512,040 raw vs $54,266,143 USD, a $2,245,897 overstatement, 99.7% of it in the 104 CAD deals.</t>
        </is>
      </c>
    </row>
    <row r="12" ht="30" customHeight="1">
      <c r="A12" s="59" t="inlineStr">
        <is>
          <t>Values in this file are restated. Canadian rows are discounted at the verified blended rate 0.7316. Re-derive the source column from amount_in_home_currency to fix it permanently.</t>
        </is>
      </c>
    </row>
    <row r="13" ht="30" customHeight="1">
      <c r="A13" s="59" t="inlineStr">
        <is>
          <t>Also check deal 320839688918 (Burnco SmartCare 2026) by hand: it is coded USD but converted at a CAD rate, so a currency-code-based fix will miss it.</t>
        </is>
      </c>
    </row>
    <row r="14" ht="14" customHeight="1"/>
    <row r="15" ht="26" customHeight="1">
      <c r="A15" s="58" t="inlineStr">
        <is>
          <t>Selection method</t>
        </is>
      </c>
    </row>
    <row r="16" ht="30" customHeight="1">
      <c r="A16" s="59" t="inlineStr">
        <is>
          <t>Score = 45% deal value (log-scaled, true USD) + 30% recency + 25% narrative readiness (has narrative / has quote).</t>
        </is>
      </c>
    </row>
    <row r="17" ht="30" customHeight="1">
      <c r="A17" s="59" t="inlineStr">
        <is>
          <t>Constraints: one story per client; max 4 per industry; max 7 per size band; $50k minimum; at least 4 non-UKG-Pro stories so Dayforce and UKG Ready are represented.</t>
        </is>
      </c>
    </row>
    <row r="18" ht="43" customHeight="1">
      <c r="A18" s="59" t="inlineStr">
        <is>
          <t>Client names were de-duplicated first — the source splits some clients across spellings (KCC / Kimberly-Clark / Kimberly Clark UTA; REI / Recreational Equipment Inc; EOS Hospitality across three names). 10 merges applied.</t>
        </is>
      </c>
    </row>
    <row r="19" ht="14" customHeight="1"/>
    <row r="20" ht="26" customHeight="1">
      <c r="A20" s="58" t="inlineStr">
        <is>
          <t>What the shortlist needs from you</t>
        </is>
      </c>
    </row>
    <row r="21" ht="30" customHeight="1">
      <c r="A21" s="59" t="inlineStr">
        <is>
          <t>20 of 30 already have a drafted narrative and 16 have a Raven-sourced quote — so the net new writing is 10 narratives and 14 quotes, not 30.</t>
        </is>
      </c>
    </row>
    <row r="22" ht="43" customHeight="1">
      <c r="A22" s="59" t="inlineStr">
        <is>
          <t>Reference Status is blank on all 453 source rows. The Vocab tab already defines the right ladder (None / Logo OK / Quote OK / Reference Call OK / Logo+Quote OK / Logo+Quote+Reference Call OK) — it just has never been filled in. Until it is, none of these are cleared to name publicly.</t>
        </is>
      </c>
    </row>
    <row r="23" ht="43" customHeight="1">
      <c r="A23" s="59" t="inlineStr">
        <is>
          <t>The Validator column is blank on purpose. Mike's objective names Maher, Tammi, Rich, Moe, Sneh, Sarah and Allison — but only Maher and Allison map to CRM deal owners, and the Engagement Owner column that would connect stories to the delivery team is empty on every row. That mapping needs a human.</t>
        </is>
      </c>
    </row>
    <row r="24" ht="14" customHeight="1"/>
    <row r="25" ht="26" customHeight="1">
      <c r="A25" s="58" t="inlineStr">
        <is>
          <t>Unblocking the other 421 engagements</t>
        </is>
      </c>
    </row>
    <row r="26" ht="43" customHeight="1">
      <c r="A26" s="59" t="inlineStr">
        <is>
          <t>The How to Use tab has the fix: in OneDrive, right-click the sales SOW folders, choose "Always keep on this device", then re-run the narrative pass. 12 of the 62 drafts are low-confidence purely because their SOWs were cloud-only stubs.</t>
        </is>
      </c>
    </row>
    <row r="27" ht="14" customHeight="1"/>
    <row r="28" ht="26" customHeight="1">
      <c r="A28" s="58" t="inlineStr">
        <is>
          <t>Branded edition, 10 Aug 2026</t>
        </is>
      </c>
    </row>
    <row r="29" ht="43" customHeight="1">
      <c r="A29" s="59" t="inlineStr">
        <is>
          <t>This file restyles the 10 Aug shortlist with the Align HCM brand system: navy 0A1628, orange F05A28, cream FCFAF7, and the exact Align logo extracted from the shipped editorial PDF set. Story rows, values, and formulas are unchanged.</t>
        </is>
      </c>
    </row>
    <row r="30" ht="30" customHeight="1">
      <c r="A30" s="59" t="inlineStr">
        <is>
          <t>Three columns were added on the right of the Top 30 tab: Website, HQ (CRM), and Employees (CRM). They were read from HubSpot portal 242825734 on 10 Aug 2026. Read-only: nothing was created, changed, or sent.</t>
        </is>
      </c>
    </row>
    <row r="31" ht="43" customHeight="1">
      <c r="A31" s="59" t="inlineStr">
        <is>
          <t>Domain notes: the OhioHealth CRM record carries ohiohealthems.com, MTA NY carries mtany.org, and McCain Foods carries mccain.ca. The public primary domains are shown instead. Ace Parking's CRM record is a project entry (UKG Pro WFM Flip), so its HQ is left blank.</t>
        </is>
      </c>
    </row>
    <row r="32" ht="30" customHeight="1">
      <c r="A32" s="59" t="inlineStr">
        <is>
          <t>An HTML twin of this file (same data, same brand, client logos rendered) ships alongside it: Align_HCM_Top30_Story_Shortlist_Branded.html.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Align HCM</dc:creator>
  <dc:title>Align HCM · Top 30 Story Shortlist (Branded)</dc:title>
  <dc:description>Branded edition of the 10 Aug 2026 Top 30 story shortlist. Data unchanged; Website/HQ/Employees read from HubSpot portal 242825734.</dc:description>
  <dcterms:created xsi:type="dcterms:W3CDTF">2026-08-10T18:11:31Z</dcterms:created>
  <dcterms:modified xsi:type="dcterms:W3CDTF">2026-08-10T18:11:31Z</dcterms:modified>
</cp:coreProperties>
</file>